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c1b4e9110949a21/KOd/Bartek/"/>
    </mc:Choice>
  </mc:AlternateContent>
  <xr:revisionPtr revIDLastSave="2" documentId="11_424A27111063FD42FED1A7E373078D2B7E18D87F" xr6:coauthVersionLast="47" xr6:coauthVersionMax="47" xr10:uidLastSave="{F9C807E1-C8DA-42A6-B3C7-FC5D5EE9033A}"/>
  <bookViews>
    <workbookView xWindow="7" yWindow="7" windowWidth="25586" windowHeight="13666" xr2:uid="{00000000-000D-0000-FFFF-FFFF00000000}"/>
  </bookViews>
  <sheets>
    <sheet name="Parametry" sheetId="1" r:id="rId1"/>
    <sheet name="Model" sheetId="2" r:id="rId2"/>
    <sheet name="Wykr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1" i="2" l="1"/>
  <c r="M101" i="2" s="1"/>
  <c r="F100" i="2"/>
  <c r="B100" i="2"/>
  <c r="A100" i="2"/>
  <c r="M100" i="2" s="1"/>
  <c r="G99" i="2"/>
  <c r="C99" i="2"/>
  <c r="A99" i="2"/>
  <c r="J99" i="2" s="1"/>
  <c r="H98" i="2"/>
  <c r="D98" i="2"/>
  <c r="A98" i="2"/>
  <c r="K98" i="2" s="1"/>
  <c r="A97" i="2"/>
  <c r="K96" i="2"/>
  <c r="J96" i="2"/>
  <c r="C96" i="2"/>
  <c r="B96" i="2"/>
  <c r="A96" i="2"/>
  <c r="M96" i="2" s="1"/>
  <c r="A95" i="2"/>
  <c r="A94" i="2"/>
  <c r="H94" i="2" s="1"/>
  <c r="A93" i="2"/>
  <c r="H92" i="2"/>
  <c r="G92" i="2"/>
  <c r="C92" i="2"/>
  <c r="B92" i="2"/>
  <c r="A92" i="2"/>
  <c r="M92" i="2" s="1"/>
  <c r="I91" i="2"/>
  <c r="E91" i="2"/>
  <c r="D91" i="2"/>
  <c r="A91" i="2"/>
  <c r="K91" i="2" s="1"/>
  <c r="M90" i="2"/>
  <c r="H90" i="2"/>
  <c r="B90" i="2"/>
  <c r="A90" i="2"/>
  <c r="J90" i="2" s="1"/>
  <c r="I89" i="2"/>
  <c r="A89" i="2"/>
  <c r="E89" i="2" s="1"/>
  <c r="L88" i="2"/>
  <c r="H88" i="2"/>
  <c r="G88" i="2"/>
  <c r="C88" i="2"/>
  <c r="B88" i="2"/>
  <c r="A88" i="2"/>
  <c r="M88" i="2" s="1"/>
  <c r="I87" i="2"/>
  <c r="E87" i="2"/>
  <c r="D87" i="2"/>
  <c r="A87" i="2"/>
  <c r="K87" i="2" s="1"/>
  <c r="M86" i="2"/>
  <c r="H86" i="2"/>
  <c r="B86" i="2"/>
  <c r="A86" i="2"/>
  <c r="J86" i="2" s="1"/>
  <c r="I85" i="2"/>
  <c r="A85" i="2"/>
  <c r="E85" i="2" s="1"/>
  <c r="L84" i="2"/>
  <c r="H84" i="2"/>
  <c r="G84" i="2"/>
  <c r="C84" i="2"/>
  <c r="B84" i="2"/>
  <c r="A84" i="2"/>
  <c r="M84" i="2" s="1"/>
  <c r="I83" i="2"/>
  <c r="E83" i="2"/>
  <c r="D83" i="2"/>
  <c r="A83" i="2"/>
  <c r="K83" i="2" s="1"/>
  <c r="M82" i="2"/>
  <c r="H82" i="2"/>
  <c r="B82" i="2"/>
  <c r="A82" i="2"/>
  <c r="J82" i="2" s="1"/>
  <c r="I81" i="2"/>
  <c r="A81" i="2"/>
  <c r="E81" i="2" s="1"/>
  <c r="L80" i="2"/>
  <c r="H80" i="2"/>
  <c r="G80" i="2"/>
  <c r="C80" i="2"/>
  <c r="B80" i="2"/>
  <c r="A80" i="2"/>
  <c r="M80" i="2" s="1"/>
  <c r="I79" i="2"/>
  <c r="E79" i="2"/>
  <c r="D79" i="2"/>
  <c r="A79" i="2"/>
  <c r="K79" i="2" s="1"/>
  <c r="M78" i="2"/>
  <c r="H78" i="2"/>
  <c r="B78" i="2"/>
  <c r="A78" i="2"/>
  <c r="J78" i="2" s="1"/>
  <c r="J77" i="2"/>
  <c r="E77" i="2"/>
  <c r="A77" i="2"/>
  <c r="J76" i="2"/>
  <c r="D76" i="2"/>
  <c r="A76" i="2"/>
  <c r="M76" i="2" s="1"/>
  <c r="K75" i="2"/>
  <c r="E75" i="2"/>
  <c r="A75" i="2"/>
  <c r="A74" i="2"/>
  <c r="F73" i="2"/>
  <c r="A73" i="2"/>
  <c r="L73" i="2" s="1"/>
  <c r="L72" i="2"/>
  <c r="H72" i="2"/>
  <c r="G72" i="2"/>
  <c r="C72" i="2"/>
  <c r="B72" i="2"/>
  <c r="A72" i="2"/>
  <c r="M72" i="2" s="1"/>
  <c r="H71" i="2"/>
  <c r="D71" i="2"/>
  <c r="A71" i="2"/>
  <c r="K71" i="2" s="1"/>
  <c r="A70" i="2"/>
  <c r="F69" i="2"/>
  <c r="A69" i="2"/>
  <c r="M69" i="2" s="1"/>
  <c r="L68" i="2"/>
  <c r="H68" i="2"/>
  <c r="G68" i="2"/>
  <c r="C68" i="2"/>
  <c r="B68" i="2"/>
  <c r="A68" i="2"/>
  <c r="M68" i="2" s="1"/>
  <c r="H67" i="2"/>
  <c r="D67" i="2"/>
  <c r="A67" i="2"/>
  <c r="K67" i="2" s="1"/>
  <c r="A66" i="2"/>
  <c r="K65" i="2"/>
  <c r="J65" i="2"/>
  <c r="C65" i="2"/>
  <c r="B65" i="2"/>
  <c r="A65" i="2"/>
  <c r="M65" i="2" s="1"/>
  <c r="J64" i="2"/>
  <c r="D64" i="2"/>
  <c r="A64" i="2"/>
  <c r="M64" i="2" s="1"/>
  <c r="L63" i="2"/>
  <c r="A63" i="2"/>
  <c r="K63" i="2" s="1"/>
  <c r="M62" i="2"/>
  <c r="A62" i="2"/>
  <c r="I62" i="2" s="1"/>
  <c r="K61" i="2"/>
  <c r="J61" i="2"/>
  <c r="F61" i="2"/>
  <c r="C61" i="2"/>
  <c r="B61" i="2"/>
  <c r="A61" i="2"/>
  <c r="M61" i="2" s="1"/>
  <c r="K60" i="2"/>
  <c r="F60" i="2"/>
  <c r="A60" i="2"/>
  <c r="A59" i="2"/>
  <c r="I58" i="2"/>
  <c r="A58" i="2"/>
  <c r="M58" i="2" s="1"/>
  <c r="K57" i="2"/>
  <c r="J57" i="2"/>
  <c r="C57" i="2"/>
  <c r="B57" i="2"/>
  <c r="A57" i="2"/>
  <c r="M57" i="2" s="1"/>
  <c r="J56" i="2"/>
  <c r="A56" i="2"/>
  <c r="L55" i="2"/>
  <c r="A55" i="2"/>
  <c r="M54" i="2"/>
  <c r="E54" i="2"/>
  <c r="A54" i="2"/>
  <c r="K53" i="2"/>
  <c r="J53" i="2"/>
  <c r="C53" i="2"/>
  <c r="B53" i="2"/>
  <c r="A53" i="2"/>
  <c r="M53" i="2" s="1"/>
  <c r="J52" i="2"/>
  <c r="F52" i="2"/>
  <c r="A52" i="2"/>
  <c r="A51" i="2"/>
  <c r="L51" i="2" s="1"/>
  <c r="A50" i="2"/>
  <c r="A49" i="2"/>
  <c r="L48" i="2"/>
  <c r="H48" i="2"/>
  <c r="G48" i="2"/>
  <c r="C48" i="2"/>
  <c r="B48" i="2"/>
  <c r="A48" i="2"/>
  <c r="M48" i="2" s="1"/>
  <c r="H47" i="2"/>
  <c r="D47" i="2"/>
  <c r="A47" i="2"/>
  <c r="K47" i="2" s="1"/>
  <c r="I46" i="2"/>
  <c r="E46" i="2"/>
  <c r="A46" i="2"/>
  <c r="M46" i="2" s="1"/>
  <c r="A45" i="2"/>
  <c r="B45" i="2" s="1"/>
  <c r="B44" i="2"/>
  <c r="C44" i="2" s="1"/>
  <c r="A44" i="2"/>
  <c r="A43" i="2"/>
  <c r="A42" i="2"/>
  <c r="A41" i="2"/>
  <c r="A40" i="2"/>
  <c r="F40" i="2" s="1"/>
  <c r="A39" i="2"/>
  <c r="A38" i="2"/>
  <c r="A37" i="2"/>
  <c r="A36" i="2"/>
  <c r="F36" i="2" s="1"/>
  <c r="A35" i="2"/>
  <c r="A34" i="2"/>
  <c r="A33" i="2"/>
  <c r="F32" i="2"/>
  <c r="C32" i="2"/>
  <c r="B32" i="2"/>
  <c r="A32" i="2"/>
  <c r="B31" i="2"/>
  <c r="A31" i="2"/>
  <c r="A30" i="2"/>
  <c r="A29" i="2"/>
  <c r="F29" i="2" s="1"/>
  <c r="A28" i="2"/>
  <c r="A27" i="2"/>
  <c r="B27" i="2" s="1"/>
  <c r="A26" i="2"/>
  <c r="B25" i="2"/>
  <c r="C25" i="2" s="1"/>
  <c r="A25" i="2"/>
  <c r="A24" i="2"/>
  <c r="B23" i="2"/>
  <c r="A23" i="2"/>
  <c r="A22" i="2"/>
  <c r="A21" i="2"/>
  <c r="B21" i="2" s="1"/>
  <c r="C21" i="2" s="1"/>
  <c r="A20" i="2"/>
  <c r="A19" i="2"/>
  <c r="B19" i="2" s="1"/>
  <c r="B18" i="2"/>
  <c r="A18" i="2"/>
  <c r="A17" i="2"/>
  <c r="B17" i="2" s="1"/>
  <c r="C17" i="2" s="1"/>
  <c r="B16" i="2"/>
  <c r="C16" i="2" s="1"/>
  <c r="A16" i="2"/>
  <c r="A15" i="2"/>
  <c r="B14" i="2"/>
  <c r="A14" i="2"/>
  <c r="A13" i="2"/>
  <c r="A12" i="2"/>
  <c r="B12" i="2" s="1"/>
  <c r="C12" i="2" s="1"/>
  <c r="A11" i="2"/>
  <c r="B10" i="2"/>
  <c r="A10" i="2"/>
  <c r="A9" i="2"/>
  <c r="B8" i="2"/>
  <c r="C8" i="2" s="1"/>
  <c r="A8" i="2"/>
  <c r="A7" i="2"/>
  <c r="A6" i="2"/>
  <c r="B6" i="2" s="1"/>
  <c r="A5" i="2"/>
  <c r="A4" i="2"/>
  <c r="B4" i="2" s="1"/>
  <c r="C4" i="2" s="1"/>
  <c r="A3" i="2"/>
  <c r="A2" i="2"/>
  <c r="D2" i="2" l="1"/>
  <c r="B2" i="2"/>
  <c r="M49" i="2"/>
  <c r="K49" i="2"/>
  <c r="C49" i="2"/>
  <c r="J49" i="2"/>
  <c r="B49" i="2"/>
  <c r="J74" i="2"/>
  <c r="H74" i="2"/>
  <c r="D74" i="2"/>
  <c r="M74" i="2"/>
  <c r="B74" i="2"/>
  <c r="B29" i="2"/>
  <c r="C29" i="2" s="1"/>
  <c r="F49" i="2"/>
  <c r="M56" i="2"/>
  <c r="H56" i="2"/>
  <c r="C56" i="2"/>
  <c r="L56" i="2"/>
  <c r="G56" i="2"/>
  <c r="B56" i="2"/>
  <c r="K56" i="2"/>
  <c r="K59" i="2"/>
  <c r="L59" i="2"/>
  <c r="H59" i="2"/>
  <c r="I74" i="2"/>
  <c r="M45" i="2"/>
  <c r="F45" i="2"/>
  <c r="K45" i="2"/>
  <c r="C45" i="2"/>
  <c r="K51" i="2"/>
  <c r="H51" i="2"/>
  <c r="D51" i="2"/>
  <c r="B40" i="2"/>
  <c r="C40" i="2" s="1"/>
  <c r="G45" i="2"/>
  <c r="G49" i="2"/>
  <c r="M52" i="2"/>
  <c r="H52" i="2"/>
  <c r="C52" i="2"/>
  <c r="L52" i="2"/>
  <c r="G52" i="2"/>
  <c r="B52" i="2"/>
  <c r="K52" i="2"/>
  <c r="D56" i="2"/>
  <c r="D59" i="2"/>
  <c r="J95" i="2"/>
  <c r="G95" i="2"/>
  <c r="L95" i="2"/>
  <c r="D95" i="2"/>
  <c r="K95" i="2"/>
  <c r="C95" i="2"/>
  <c r="C36" i="2"/>
  <c r="B36" i="2"/>
  <c r="E70" i="2"/>
  <c r="M70" i="2"/>
  <c r="J45" i="2"/>
  <c r="D52" i="2"/>
  <c r="K55" i="2"/>
  <c r="H55" i="2"/>
  <c r="D55" i="2"/>
  <c r="F56" i="2"/>
  <c r="M60" i="2"/>
  <c r="J60" i="2"/>
  <c r="D60" i="2"/>
  <c r="L60" i="2"/>
  <c r="B60" i="2"/>
  <c r="H60" i="2"/>
  <c r="C60" i="2"/>
  <c r="G60" i="2"/>
  <c r="H95" i="2"/>
  <c r="G69" i="2"/>
  <c r="G73" i="2"/>
  <c r="F76" i="2"/>
  <c r="K76" i="2"/>
  <c r="J85" i="2"/>
  <c r="J89" i="2"/>
  <c r="L47" i="2"/>
  <c r="D48" i="2"/>
  <c r="J48" i="2"/>
  <c r="F53" i="2"/>
  <c r="F57" i="2"/>
  <c r="G61" i="2"/>
  <c r="E62" i="2"/>
  <c r="D63" i="2"/>
  <c r="B64" i="2"/>
  <c r="G64" i="2"/>
  <c r="L64" i="2"/>
  <c r="F65" i="2"/>
  <c r="L67" i="2"/>
  <c r="D68" i="2"/>
  <c r="J68" i="2"/>
  <c r="B69" i="2"/>
  <c r="J69" i="2"/>
  <c r="L71" i="2"/>
  <c r="D72" i="2"/>
  <c r="J72" i="2"/>
  <c r="B73" i="2"/>
  <c r="J73" i="2"/>
  <c r="B76" i="2"/>
  <c r="G76" i="2"/>
  <c r="L76" i="2"/>
  <c r="D80" i="2"/>
  <c r="J80" i="2"/>
  <c r="C81" i="2"/>
  <c r="D84" i="2"/>
  <c r="J84" i="2"/>
  <c r="C85" i="2"/>
  <c r="D88" i="2"/>
  <c r="J88" i="2"/>
  <c r="C89" i="2"/>
  <c r="D92" i="2"/>
  <c r="J92" i="2"/>
  <c r="D94" i="2"/>
  <c r="F96" i="2"/>
  <c r="L98" i="2"/>
  <c r="K99" i="2"/>
  <c r="J100" i="2"/>
  <c r="F64" i="2"/>
  <c r="K64" i="2"/>
  <c r="J81" i="2"/>
  <c r="F48" i="2"/>
  <c r="K48" i="2"/>
  <c r="G53" i="2"/>
  <c r="G57" i="2"/>
  <c r="H63" i="2"/>
  <c r="C64" i="2"/>
  <c r="H64" i="2"/>
  <c r="G65" i="2"/>
  <c r="F68" i="2"/>
  <c r="K68" i="2"/>
  <c r="C69" i="2"/>
  <c r="K69" i="2"/>
  <c r="F72" i="2"/>
  <c r="K72" i="2"/>
  <c r="C73" i="2"/>
  <c r="K73" i="2"/>
  <c r="C76" i="2"/>
  <c r="H76" i="2"/>
  <c r="F80" i="2"/>
  <c r="K80" i="2"/>
  <c r="F84" i="2"/>
  <c r="K84" i="2"/>
  <c r="F88" i="2"/>
  <c r="K88" i="2"/>
  <c r="F92" i="2"/>
  <c r="K92" i="2"/>
  <c r="L94" i="2"/>
  <c r="G96" i="2"/>
  <c r="C13" i="2"/>
  <c r="F13" i="2" s="1"/>
  <c r="B13" i="2"/>
  <c r="H8" i="2"/>
  <c r="G8" i="2"/>
  <c r="B5" i="2"/>
  <c r="C5" i="2" s="1"/>
  <c r="F12" i="2"/>
  <c r="F17" i="2"/>
  <c r="F16" i="2"/>
  <c r="H4" i="2"/>
  <c r="G4" i="2"/>
  <c r="B9" i="2"/>
  <c r="C9" i="2" s="1"/>
  <c r="F9" i="2" s="1"/>
  <c r="E2" i="2"/>
  <c r="D3" i="2"/>
  <c r="D4" i="2" s="1"/>
  <c r="F4" i="2" s="1"/>
  <c r="B20" i="2"/>
  <c r="C20" i="2" s="1"/>
  <c r="F25" i="2"/>
  <c r="B38" i="2"/>
  <c r="C38" i="2" s="1"/>
  <c r="L66" i="2"/>
  <c r="H66" i="2"/>
  <c r="D66" i="2"/>
  <c r="K66" i="2"/>
  <c r="G66" i="2"/>
  <c r="C66" i="2"/>
  <c r="J66" i="2"/>
  <c r="F66" i="2"/>
  <c r="B66" i="2"/>
  <c r="M66" i="2"/>
  <c r="I66" i="2"/>
  <c r="E66" i="2"/>
  <c r="B30" i="2"/>
  <c r="C30" i="2" s="1"/>
  <c r="C34" i="2"/>
  <c r="F34" i="2" s="1"/>
  <c r="B34" i="2"/>
  <c r="L50" i="2"/>
  <c r="H50" i="2"/>
  <c r="D50" i="2"/>
  <c r="K50" i="2"/>
  <c r="G50" i="2"/>
  <c r="C50" i="2"/>
  <c r="J50" i="2"/>
  <c r="F50" i="2"/>
  <c r="B50" i="2"/>
  <c r="M50" i="2"/>
  <c r="I50" i="2"/>
  <c r="E50" i="2"/>
  <c r="C2" i="2"/>
  <c r="G2" i="2" s="1"/>
  <c r="B3" i="2"/>
  <c r="C3" i="2" s="1"/>
  <c r="G3" i="2" s="1"/>
  <c r="I4" i="2"/>
  <c r="C6" i="2"/>
  <c r="G6" i="2" s="1"/>
  <c r="B7" i="2"/>
  <c r="C7" i="2" s="1"/>
  <c r="G7" i="2" s="1"/>
  <c r="I8" i="2"/>
  <c r="C10" i="2"/>
  <c r="B11" i="2"/>
  <c r="C11" i="2" s="1"/>
  <c r="F11" i="2" s="1"/>
  <c r="C14" i="2"/>
  <c r="B15" i="2"/>
  <c r="C15" i="2" s="1"/>
  <c r="F15" i="2"/>
  <c r="C18" i="2"/>
  <c r="F18" i="2" s="1"/>
  <c r="C19" i="2"/>
  <c r="F19" i="2"/>
  <c r="F21" i="2"/>
  <c r="B22" i="2"/>
  <c r="C22" i="2" s="1"/>
  <c r="B26" i="2"/>
  <c r="C26" i="2" s="1"/>
  <c r="C42" i="2"/>
  <c r="F42" i="2" s="1"/>
  <c r="B42" i="2"/>
  <c r="F44" i="2"/>
  <c r="F31" i="2"/>
  <c r="L54" i="2"/>
  <c r="H54" i="2"/>
  <c r="D54" i="2"/>
  <c r="K54" i="2"/>
  <c r="G54" i="2"/>
  <c r="C54" i="2"/>
  <c r="J54" i="2"/>
  <c r="F54" i="2"/>
  <c r="B54" i="2"/>
  <c r="L70" i="2"/>
  <c r="H70" i="2"/>
  <c r="D70" i="2"/>
  <c r="K70" i="2"/>
  <c r="G70" i="2"/>
  <c r="C70" i="2"/>
  <c r="J70" i="2"/>
  <c r="F70" i="2"/>
  <c r="B70" i="2"/>
  <c r="L97" i="2"/>
  <c r="H97" i="2"/>
  <c r="D97" i="2"/>
  <c r="K97" i="2"/>
  <c r="G97" i="2"/>
  <c r="C97" i="2"/>
  <c r="F97" i="2"/>
  <c r="M97" i="2"/>
  <c r="E97" i="2"/>
  <c r="J97" i="2"/>
  <c r="B97" i="2"/>
  <c r="B35" i="2"/>
  <c r="C35" i="2" s="1"/>
  <c r="F39" i="2"/>
  <c r="B39" i="2"/>
  <c r="B43" i="2"/>
  <c r="C43" i="2" s="1"/>
  <c r="L58" i="2"/>
  <c r="H58" i="2"/>
  <c r="D58" i="2"/>
  <c r="K58" i="2"/>
  <c r="G58" i="2"/>
  <c r="C58" i="2"/>
  <c r="J58" i="2"/>
  <c r="F58" i="2"/>
  <c r="B58" i="2"/>
  <c r="L93" i="2"/>
  <c r="H93" i="2"/>
  <c r="D93" i="2"/>
  <c r="K93" i="2"/>
  <c r="G93" i="2"/>
  <c r="C93" i="2"/>
  <c r="F93" i="2"/>
  <c r="M93" i="2"/>
  <c r="E93" i="2"/>
  <c r="J93" i="2"/>
  <c r="B93" i="2"/>
  <c r="I97" i="2"/>
  <c r="C23" i="2"/>
  <c r="B24" i="2"/>
  <c r="C24" i="2" s="1"/>
  <c r="F24" i="2"/>
  <c r="C27" i="2"/>
  <c r="B28" i="2"/>
  <c r="C28" i="2" s="1"/>
  <c r="F28" i="2"/>
  <c r="C31" i="2"/>
  <c r="B33" i="2"/>
  <c r="C33" i="2" s="1"/>
  <c r="B37" i="2"/>
  <c r="C37" i="2" s="1"/>
  <c r="F37" i="2" s="1"/>
  <c r="C39" i="2"/>
  <c r="B41" i="2"/>
  <c r="C41" i="2" s="1"/>
  <c r="L46" i="2"/>
  <c r="H46" i="2"/>
  <c r="D46" i="2"/>
  <c r="K46" i="2"/>
  <c r="G46" i="2"/>
  <c r="C46" i="2"/>
  <c r="J46" i="2"/>
  <c r="F46" i="2"/>
  <c r="B46" i="2"/>
  <c r="I54" i="2"/>
  <c r="E58" i="2"/>
  <c r="L62" i="2"/>
  <c r="H62" i="2"/>
  <c r="D62" i="2"/>
  <c r="K62" i="2"/>
  <c r="G62" i="2"/>
  <c r="C62" i="2"/>
  <c r="J62" i="2"/>
  <c r="F62" i="2"/>
  <c r="B62" i="2"/>
  <c r="I70" i="2"/>
  <c r="I93" i="2"/>
  <c r="E47" i="2"/>
  <c r="I47" i="2"/>
  <c r="M47" i="2"/>
  <c r="E51" i="2"/>
  <c r="I51" i="2"/>
  <c r="M51" i="2"/>
  <c r="E55" i="2"/>
  <c r="I55" i="2"/>
  <c r="M55" i="2"/>
  <c r="E59" i="2"/>
  <c r="I59" i="2"/>
  <c r="M59" i="2"/>
  <c r="E63" i="2"/>
  <c r="I63" i="2"/>
  <c r="M63" i="2"/>
  <c r="E67" i="2"/>
  <c r="I67" i="2"/>
  <c r="M67" i="2"/>
  <c r="E71" i="2"/>
  <c r="I71" i="2"/>
  <c r="M71" i="2"/>
  <c r="J75" i="2"/>
  <c r="F75" i="2"/>
  <c r="B75" i="2"/>
  <c r="G75" i="2"/>
  <c r="L75" i="2"/>
  <c r="L77" i="2"/>
  <c r="H77" i="2"/>
  <c r="D77" i="2"/>
  <c r="F77" i="2"/>
  <c r="K77" i="2"/>
  <c r="D78" i="2"/>
  <c r="I78" i="2"/>
  <c r="J79" i="2"/>
  <c r="F79" i="2"/>
  <c r="B79" i="2"/>
  <c r="G79" i="2"/>
  <c r="L79" i="2"/>
  <c r="L81" i="2"/>
  <c r="H81" i="2"/>
  <c r="D81" i="2"/>
  <c r="F81" i="2"/>
  <c r="K81" i="2"/>
  <c r="D82" i="2"/>
  <c r="I82" i="2"/>
  <c r="J83" i="2"/>
  <c r="F83" i="2"/>
  <c r="B83" i="2"/>
  <c r="G83" i="2"/>
  <c r="L83" i="2"/>
  <c r="L85" i="2"/>
  <c r="H85" i="2"/>
  <c r="D85" i="2"/>
  <c r="F85" i="2"/>
  <c r="K85" i="2"/>
  <c r="D86" i="2"/>
  <c r="I86" i="2"/>
  <c r="J87" i="2"/>
  <c r="F87" i="2"/>
  <c r="B87" i="2"/>
  <c r="G87" i="2"/>
  <c r="L87" i="2"/>
  <c r="L89" i="2"/>
  <c r="H89" i="2"/>
  <c r="D89" i="2"/>
  <c r="F89" i="2"/>
  <c r="K89" i="2"/>
  <c r="D90" i="2"/>
  <c r="I90" i="2"/>
  <c r="J91" i="2"/>
  <c r="F91" i="2"/>
  <c r="B91" i="2"/>
  <c r="G91" i="2"/>
  <c r="L91" i="2"/>
  <c r="E94" i="2"/>
  <c r="M94" i="2"/>
  <c r="D45" i="2"/>
  <c r="H45" i="2"/>
  <c r="L45" i="2"/>
  <c r="B47" i="2"/>
  <c r="F47" i="2"/>
  <c r="J47" i="2"/>
  <c r="E48" i="2"/>
  <c r="I48" i="2"/>
  <c r="D49" i="2"/>
  <c r="H49" i="2"/>
  <c r="L49" i="2"/>
  <c r="B51" i="2"/>
  <c r="F51" i="2"/>
  <c r="J51" i="2"/>
  <c r="E52" i="2"/>
  <c r="I52" i="2"/>
  <c r="D53" i="2"/>
  <c r="H53" i="2"/>
  <c r="L53" i="2"/>
  <c r="B55" i="2"/>
  <c r="F55" i="2"/>
  <c r="J55" i="2"/>
  <c r="E56" i="2"/>
  <c r="I56" i="2"/>
  <c r="D57" i="2"/>
  <c r="H57" i="2"/>
  <c r="L57" i="2"/>
  <c r="B59" i="2"/>
  <c r="F59" i="2"/>
  <c r="J59" i="2"/>
  <c r="E60" i="2"/>
  <c r="I60" i="2"/>
  <c r="D61" i="2"/>
  <c r="H61" i="2"/>
  <c r="L61" i="2"/>
  <c r="B63" i="2"/>
  <c r="F63" i="2"/>
  <c r="J63" i="2"/>
  <c r="E64" i="2"/>
  <c r="I64" i="2"/>
  <c r="D65" i="2"/>
  <c r="H65" i="2"/>
  <c r="L65" i="2"/>
  <c r="B67" i="2"/>
  <c r="F67" i="2"/>
  <c r="J67" i="2"/>
  <c r="E68" i="2"/>
  <c r="I68" i="2"/>
  <c r="D69" i="2"/>
  <c r="H69" i="2"/>
  <c r="L69" i="2"/>
  <c r="B71" i="2"/>
  <c r="F71" i="2"/>
  <c r="J71" i="2"/>
  <c r="E72" i="2"/>
  <c r="I72" i="2"/>
  <c r="D73" i="2"/>
  <c r="H73" i="2"/>
  <c r="M73" i="2"/>
  <c r="E74" i="2"/>
  <c r="C75" i="2"/>
  <c r="H75" i="2"/>
  <c r="M75" i="2"/>
  <c r="B77" i="2"/>
  <c r="G77" i="2"/>
  <c r="M77" i="2"/>
  <c r="E78" i="2"/>
  <c r="C79" i="2"/>
  <c r="H79" i="2"/>
  <c r="M79" i="2"/>
  <c r="B81" i="2"/>
  <c r="G81" i="2"/>
  <c r="M81" i="2"/>
  <c r="E82" i="2"/>
  <c r="C83" i="2"/>
  <c r="H83" i="2"/>
  <c r="M83" i="2"/>
  <c r="B85" i="2"/>
  <c r="G85" i="2"/>
  <c r="M85" i="2"/>
  <c r="E86" i="2"/>
  <c r="C87" i="2"/>
  <c r="H87" i="2"/>
  <c r="M87" i="2"/>
  <c r="B89" i="2"/>
  <c r="G89" i="2"/>
  <c r="M89" i="2"/>
  <c r="E90" i="2"/>
  <c r="C91" i="2"/>
  <c r="H91" i="2"/>
  <c r="M91" i="2"/>
  <c r="E45" i="2"/>
  <c r="I45" i="2"/>
  <c r="C47" i="2"/>
  <c r="G47" i="2"/>
  <c r="E49" i="2"/>
  <c r="I49" i="2"/>
  <c r="C51" i="2"/>
  <c r="G51" i="2"/>
  <c r="E53" i="2"/>
  <c r="I53" i="2"/>
  <c r="C55" i="2"/>
  <c r="G55" i="2"/>
  <c r="E57" i="2"/>
  <c r="I57" i="2"/>
  <c r="C59" i="2"/>
  <c r="G59" i="2"/>
  <c r="E61" i="2"/>
  <c r="I61" i="2"/>
  <c r="C63" i="2"/>
  <c r="G63" i="2"/>
  <c r="E65" i="2"/>
  <c r="I65" i="2"/>
  <c r="C67" i="2"/>
  <c r="G67" i="2"/>
  <c r="E69" i="2"/>
  <c r="I69" i="2"/>
  <c r="C71" i="2"/>
  <c r="G71" i="2"/>
  <c r="E73" i="2"/>
  <c r="I73" i="2"/>
  <c r="K74" i="2"/>
  <c r="G74" i="2"/>
  <c r="C74" i="2"/>
  <c r="F74" i="2"/>
  <c r="L74" i="2"/>
  <c r="D75" i="2"/>
  <c r="I75" i="2"/>
  <c r="C77" i="2"/>
  <c r="I77" i="2"/>
  <c r="K78" i="2"/>
  <c r="G78" i="2"/>
  <c r="C78" i="2"/>
  <c r="F78" i="2"/>
  <c r="L78" i="2"/>
  <c r="K82" i="2"/>
  <c r="G82" i="2"/>
  <c r="C82" i="2"/>
  <c r="F82" i="2"/>
  <c r="L82" i="2"/>
  <c r="K86" i="2"/>
  <c r="G86" i="2"/>
  <c r="C86" i="2"/>
  <c r="F86" i="2"/>
  <c r="L86" i="2"/>
  <c r="K90" i="2"/>
  <c r="G90" i="2"/>
  <c r="C90" i="2"/>
  <c r="F90" i="2"/>
  <c r="L90" i="2"/>
  <c r="K94" i="2"/>
  <c r="G94" i="2"/>
  <c r="C94" i="2"/>
  <c r="J94" i="2"/>
  <c r="F94" i="2"/>
  <c r="B94" i="2"/>
  <c r="I94" i="2"/>
  <c r="E98" i="2"/>
  <c r="I98" i="2"/>
  <c r="M98" i="2"/>
  <c r="D99" i="2"/>
  <c r="H99" i="2"/>
  <c r="L99" i="2"/>
  <c r="C100" i="2"/>
  <c r="G100" i="2"/>
  <c r="K100" i="2"/>
  <c r="B101" i="2"/>
  <c r="F101" i="2"/>
  <c r="J101" i="2"/>
  <c r="L92" i="2"/>
  <c r="E95" i="2"/>
  <c r="I95" i="2"/>
  <c r="M95" i="2"/>
  <c r="D96" i="2"/>
  <c r="H96" i="2"/>
  <c r="L96" i="2"/>
  <c r="B98" i="2"/>
  <c r="F98" i="2"/>
  <c r="J98" i="2"/>
  <c r="E99" i="2"/>
  <c r="I99" i="2"/>
  <c r="M99" i="2"/>
  <c r="D100" i="2"/>
  <c r="H100" i="2"/>
  <c r="L100" i="2"/>
  <c r="C101" i="2"/>
  <c r="G101" i="2"/>
  <c r="K101" i="2"/>
  <c r="E76" i="2"/>
  <c r="I76" i="2"/>
  <c r="E80" i="2"/>
  <c r="I80" i="2"/>
  <c r="E84" i="2"/>
  <c r="I84" i="2"/>
  <c r="E88" i="2"/>
  <c r="I88" i="2"/>
  <c r="E92" i="2"/>
  <c r="I92" i="2"/>
  <c r="B95" i="2"/>
  <c r="F95" i="2"/>
  <c r="E96" i="2"/>
  <c r="I96" i="2"/>
  <c r="C98" i="2"/>
  <c r="G98" i="2"/>
  <c r="B99" i="2"/>
  <c r="F99" i="2"/>
  <c r="E100" i="2"/>
  <c r="I100" i="2"/>
  <c r="D101" i="2"/>
  <c r="H101" i="2"/>
  <c r="L101" i="2"/>
  <c r="E101" i="2"/>
  <c r="I101" i="2"/>
  <c r="H3" i="2" l="1"/>
  <c r="I3" i="2" s="1"/>
  <c r="F43" i="2"/>
  <c r="H5" i="2"/>
  <c r="G5" i="2"/>
  <c r="F30" i="2"/>
  <c r="F35" i="2"/>
  <c r="F38" i="2"/>
  <c r="F26" i="2"/>
  <c r="F23" i="2"/>
  <c r="F41" i="2"/>
  <c r="F33" i="2"/>
  <c r="F22" i="2"/>
  <c r="F10" i="2"/>
  <c r="F2" i="2"/>
  <c r="H2" i="2"/>
  <c r="I2" i="2" s="1"/>
  <c r="L2" i="2" s="1"/>
  <c r="F3" i="2"/>
  <c r="F20" i="2"/>
  <c r="H7" i="2"/>
  <c r="I7" i="2" s="1"/>
  <c r="F27" i="2"/>
  <c r="F14" i="2"/>
  <c r="H6" i="2"/>
  <c r="I6" i="2" s="1"/>
  <c r="D5" i="2"/>
  <c r="D6" i="2" s="1"/>
  <c r="D7" i="2" s="1"/>
  <c r="I5" i="2" l="1"/>
  <c r="J2" i="2"/>
  <c r="M2" i="2" s="1"/>
  <c r="E3" i="2" s="1"/>
  <c r="D8" i="2"/>
  <c r="F7" i="2"/>
  <c r="F5" i="2"/>
  <c r="F6" i="2"/>
  <c r="K2" i="2"/>
  <c r="J3" i="2" l="1"/>
  <c r="D9" i="2"/>
  <c r="F8" i="2"/>
  <c r="K3" i="2"/>
  <c r="L3" i="2"/>
  <c r="M3" i="2" s="1"/>
  <c r="E4" i="2" s="1"/>
  <c r="J4" i="2" l="1"/>
  <c r="D10" i="2"/>
  <c r="H9" i="2"/>
  <c r="I9" i="2" s="1"/>
  <c r="G9" i="2"/>
  <c r="K4" i="2"/>
  <c r="L4" i="2"/>
  <c r="M4" i="2" l="1"/>
  <c r="E5" i="2" s="1"/>
  <c r="J5" i="2"/>
  <c r="D11" i="2"/>
  <c r="G10" i="2"/>
  <c r="H10" i="2"/>
  <c r="K5" i="2"/>
  <c r="L5" i="2"/>
  <c r="I10" i="2" l="1"/>
  <c r="M5" i="2"/>
  <c r="E6" i="2" s="1"/>
  <c r="J6" i="2" s="1"/>
  <c r="D12" i="2"/>
  <c r="H11" i="2"/>
  <c r="G11" i="2"/>
  <c r="I11" i="2" l="1"/>
  <c r="L6" i="2"/>
  <c r="K6" i="2"/>
  <c r="K7" i="2" s="1"/>
  <c r="M6" i="2"/>
  <c r="E7" i="2" s="1"/>
  <c r="J7" i="2" s="1"/>
  <c r="D13" i="2"/>
  <c r="H12" i="2"/>
  <c r="G12" i="2"/>
  <c r="L7" i="2" l="1"/>
  <c r="M7" i="2" s="1"/>
  <c r="E8" i="2" s="1"/>
  <c r="I12" i="2"/>
  <c r="D14" i="2"/>
  <c r="H13" i="2"/>
  <c r="G13" i="2"/>
  <c r="J8" i="2" l="1"/>
  <c r="L8" i="2"/>
  <c r="K8" i="2"/>
  <c r="I13" i="2"/>
  <c r="D15" i="2"/>
  <c r="G14" i="2"/>
  <c r="H14" i="2"/>
  <c r="M8" i="2" l="1"/>
  <c r="E9" i="2" s="1"/>
  <c r="D16" i="2"/>
  <c r="H15" i="2"/>
  <c r="G15" i="2"/>
  <c r="I14" i="2"/>
  <c r="J9" i="2" l="1"/>
  <c r="K9" i="2"/>
  <c r="L9" i="2"/>
  <c r="M9" i="2" s="1"/>
  <c r="E10" i="2" s="1"/>
  <c r="J10" i="2" s="1"/>
  <c r="I15" i="2"/>
  <c r="D17" i="2"/>
  <c r="G16" i="2"/>
  <c r="H16" i="2"/>
  <c r="K10" i="2" l="1"/>
  <c r="L10" i="2"/>
  <c r="M10" i="2" s="1"/>
  <c r="E11" i="2" s="1"/>
  <c r="H17" i="2"/>
  <c r="G17" i="2"/>
  <c r="D18" i="2"/>
  <c r="I16" i="2"/>
  <c r="J11" i="2" l="1"/>
  <c r="L11" i="2"/>
  <c r="M11" i="2" s="1"/>
  <c r="E12" i="2" s="1"/>
  <c r="K11" i="2"/>
  <c r="L12" i="2" s="1"/>
  <c r="J12" i="2"/>
  <c r="I17" i="2"/>
  <c r="D19" i="2"/>
  <c r="H18" i="2"/>
  <c r="I18" i="2" s="1"/>
  <c r="G18" i="2"/>
  <c r="M12" i="2" l="1"/>
  <c r="E13" i="2" s="1"/>
  <c r="K12" i="2"/>
  <c r="K13" i="2" s="1"/>
  <c r="L13" i="2"/>
  <c r="J13" i="2"/>
  <c r="D20" i="2"/>
  <c r="G19" i="2"/>
  <c r="H19" i="2"/>
  <c r="I19" i="2" s="1"/>
  <c r="M13" i="2" l="1"/>
  <c r="E14" i="2" s="1"/>
  <c r="D21" i="2"/>
  <c r="H20" i="2"/>
  <c r="G20" i="2"/>
  <c r="L14" i="2" l="1"/>
  <c r="J14" i="2"/>
  <c r="M14" i="2" s="1"/>
  <c r="E15" i="2" s="1"/>
  <c r="K14" i="2"/>
  <c r="I20" i="2"/>
  <c r="H21" i="2"/>
  <c r="D22" i="2"/>
  <c r="G21" i="2"/>
  <c r="J15" i="2" l="1"/>
  <c r="L15" i="2"/>
  <c r="M15" i="2" s="1"/>
  <c r="E16" i="2" s="1"/>
  <c r="J16" i="2" s="1"/>
  <c r="K15" i="2"/>
  <c r="D23" i="2"/>
  <c r="G22" i="2"/>
  <c r="H22" i="2"/>
  <c r="I21" i="2"/>
  <c r="K16" i="2" l="1"/>
  <c r="L16" i="2"/>
  <c r="M16" i="2" s="1"/>
  <c r="E17" i="2" s="1"/>
  <c r="J17" i="2" s="1"/>
  <c r="D24" i="2"/>
  <c r="G23" i="2"/>
  <c r="H23" i="2"/>
  <c r="I23" i="2" s="1"/>
  <c r="I22" i="2"/>
  <c r="K17" i="2" l="1"/>
  <c r="L17" i="2"/>
  <c r="M17" i="2" s="1"/>
  <c r="E18" i="2" s="1"/>
  <c r="J18" i="2" s="1"/>
  <c r="D25" i="2"/>
  <c r="H24" i="2"/>
  <c r="G24" i="2"/>
  <c r="L18" i="2" l="1"/>
  <c r="M18" i="2" s="1"/>
  <c r="E19" i="2" s="1"/>
  <c r="J19" i="2" s="1"/>
  <c r="K18" i="2"/>
  <c r="I24" i="2"/>
  <c r="G25" i="2"/>
  <c r="D26" i="2"/>
  <c r="H25" i="2"/>
  <c r="I25" i="2" s="1"/>
  <c r="L19" i="2" l="1"/>
  <c r="M19" i="2" s="1"/>
  <c r="E20" i="2" s="1"/>
  <c r="J20" i="2" s="1"/>
  <c r="K19" i="2"/>
  <c r="D27" i="2"/>
  <c r="G26" i="2"/>
  <c r="H26" i="2"/>
  <c r="L20" i="2" l="1"/>
  <c r="M20" i="2" s="1"/>
  <c r="E21" i="2" s="1"/>
  <c r="J21" i="2" s="1"/>
  <c r="K20" i="2"/>
  <c r="D28" i="2"/>
  <c r="G27" i="2"/>
  <c r="H27" i="2"/>
  <c r="I27" i="2" s="1"/>
  <c r="I26" i="2"/>
  <c r="L21" i="2" l="1"/>
  <c r="M21" i="2" s="1"/>
  <c r="E22" i="2" s="1"/>
  <c r="J22" i="2" s="1"/>
  <c r="K21" i="2"/>
  <c r="D29" i="2"/>
  <c r="H28" i="2"/>
  <c r="I28" i="2" s="1"/>
  <c r="G28" i="2"/>
  <c r="L22" i="2" l="1"/>
  <c r="M22" i="2" s="1"/>
  <c r="E23" i="2" s="1"/>
  <c r="J23" i="2" s="1"/>
  <c r="K22" i="2"/>
  <c r="H29" i="2"/>
  <c r="I29" i="2" s="1"/>
  <c r="G29" i="2"/>
  <c r="D30" i="2"/>
  <c r="L23" i="2" l="1"/>
  <c r="M23" i="2" s="1"/>
  <c r="E24" i="2" s="1"/>
  <c r="J24" i="2" s="1"/>
  <c r="K23" i="2"/>
  <c r="D31" i="2"/>
  <c r="G30" i="2"/>
  <c r="H30" i="2"/>
  <c r="I30" i="2" s="1"/>
  <c r="K24" i="2" l="1"/>
  <c r="L24" i="2"/>
  <c r="M24" i="2" s="1"/>
  <c r="E25" i="2" s="1"/>
  <c r="D32" i="2"/>
  <c r="H31" i="2"/>
  <c r="I31" i="2" s="1"/>
  <c r="G31" i="2"/>
  <c r="J25" i="2" l="1"/>
  <c r="M25" i="2" s="1"/>
  <c r="E26" i="2" s="1"/>
  <c r="J26" i="2" s="1"/>
  <c r="L25" i="2"/>
  <c r="K25" i="2"/>
  <c r="H32" i="2"/>
  <c r="I32" i="2" s="1"/>
  <c r="G32" i="2"/>
  <c r="D33" i="2"/>
  <c r="K26" i="2" l="1"/>
  <c r="L26" i="2"/>
  <c r="M26" i="2" s="1"/>
  <c r="E27" i="2" s="1"/>
  <c r="D34" i="2"/>
  <c r="G33" i="2"/>
  <c r="H33" i="2"/>
  <c r="I33" i="2" s="1"/>
  <c r="M27" i="2" l="1"/>
  <c r="E28" i="2" s="1"/>
  <c r="J27" i="2"/>
  <c r="K27" i="2"/>
  <c r="L27" i="2"/>
  <c r="D35" i="2"/>
  <c r="G34" i="2"/>
  <c r="H34" i="2"/>
  <c r="K28" i="2" l="1"/>
  <c r="L28" i="2"/>
  <c r="J28" i="2"/>
  <c r="M28" i="2" s="1"/>
  <c r="E29" i="2" s="1"/>
  <c r="J29" i="2" s="1"/>
  <c r="D36" i="2"/>
  <c r="G35" i="2"/>
  <c r="H35" i="2"/>
  <c r="I34" i="2"/>
  <c r="L29" i="2" l="1"/>
  <c r="M29" i="2" s="1"/>
  <c r="E30" i="2" s="1"/>
  <c r="J30" i="2" s="1"/>
  <c r="K29" i="2"/>
  <c r="H36" i="2"/>
  <c r="G36" i="2"/>
  <c r="D37" i="2"/>
  <c r="I35" i="2"/>
  <c r="L30" i="2" l="1"/>
  <c r="K30" i="2"/>
  <c r="M30" i="2"/>
  <c r="E31" i="2" s="1"/>
  <c r="J31" i="2" s="1"/>
  <c r="I36" i="2"/>
  <c r="D38" i="2"/>
  <c r="G37" i="2"/>
  <c r="H37" i="2"/>
  <c r="K31" i="2" l="1"/>
  <c r="L31" i="2"/>
  <c r="M31" i="2" s="1"/>
  <c r="E32" i="2" s="1"/>
  <c r="J32" i="2" s="1"/>
  <c r="D39" i="2"/>
  <c r="H38" i="2"/>
  <c r="I38" i="2" s="1"/>
  <c r="G38" i="2"/>
  <c r="I37" i="2"/>
  <c r="K32" i="2" l="1"/>
  <c r="L32" i="2"/>
  <c r="M32" i="2" s="1"/>
  <c r="E33" i="2" s="1"/>
  <c r="J33" i="2" s="1"/>
  <c r="D40" i="2"/>
  <c r="G39" i="2"/>
  <c r="H39" i="2"/>
  <c r="L33" i="2" l="1"/>
  <c r="M33" i="2" s="1"/>
  <c r="E34" i="2" s="1"/>
  <c r="K33" i="2"/>
  <c r="G40" i="2"/>
  <c r="D41" i="2"/>
  <c r="H40" i="2"/>
  <c r="I40" i="2" s="1"/>
  <c r="I39" i="2"/>
  <c r="K34" i="2" l="1"/>
  <c r="L34" i="2"/>
  <c r="J34" i="2"/>
  <c r="M34" i="2" s="1"/>
  <c r="E35" i="2" s="1"/>
  <c r="D42" i="2"/>
  <c r="H41" i="2"/>
  <c r="G41" i="2"/>
  <c r="J35" i="2" l="1"/>
  <c r="M35" i="2" s="1"/>
  <c r="E36" i="2" s="1"/>
  <c r="K35" i="2"/>
  <c r="L35" i="2"/>
  <c r="I41" i="2"/>
  <c r="D43" i="2"/>
  <c r="G42" i="2"/>
  <c r="H42" i="2"/>
  <c r="I42" i="2" s="1"/>
  <c r="J36" i="2" l="1"/>
  <c r="M36" i="2" s="1"/>
  <c r="E37" i="2" s="1"/>
  <c r="J37" i="2" s="1"/>
  <c r="K36" i="2"/>
  <c r="L36" i="2"/>
  <c r="D44" i="2"/>
  <c r="H43" i="2"/>
  <c r="G43" i="2"/>
  <c r="M37" i="2" l="1"/>
  <c r="E38" i="2" s="1"/>
  <c r="J38" i="2" s="1"/>
  <c r="L37" i="2"/>
  <c r="K37" i="2"/>
  <c r="I43" i="2"/>
  <c r="H44" i="2"/>
  <c r="G44" i="2"/>
  <c r="L38" i="2" l="1"/>
  <c r="M38" i="2" s="1"/>
  <c r="E39" i="2" s="1"/>
  <c r="J39" i="2" s="1"/>
  <c r="K38" i="2"/>
  <c r="I44" i="2"/>
  <c r="L39" i="2" l="1"/>
  <c r="M39" i="2" s="1"/>
  <c r="E40" i="2" s="1"/>
  <c r="J40" i="2" s="1"/>
  <c r="K39" i="2"/>
  <c r="L40" i="2" l="1"/>
  <c r="M40" i="2" s="1"/>
  <c r="E41" i="2" s="1"/>
  <c r="K40" i="2"/>
  <c r="K41" i="2" l="1"/>
  <c r="L41" i="2"/>
  <c r="J41" i="2"/>
  <c r="M41" i="2" s="1"/>
  <c r="E42" i="2" s="1"/>
  <c r="M42" i="2" l="1"/>
  <c r="E43" i="2" s="1"/>
  <c r="J43" i="2" s="1"/>
  <c r="J42" i="2"/>
  <c r="K42" i="2"/>
  <c r="L42" i="2"/>
  <c r="K43" i="2" l="1"/>
  <c r="L43" i="2"/>
  <c r="M43" i="2" s="1"/>
  <c r="E44" i="2" s="1"/>
  <c r="J44" i="2" s="1"/>
  <c r="K44" i="2" l="1"/>
  <c r="L44" i="2"/>
  <c r="M44" i="2" s="1"/>
</calcChain>
</file>

<file path=xl/sharedStrings.xml><?xml version="1.0" encoding="utf-8"?>
<sst xmlns="http://schemas.openxmlformats.org/spreadsheetml/2006/main" count="26" uniqueCount="26">
  <si>
    <t>Parametry Modelu Emerytalnego</t>
  </si>
  <si>
    <t>Wartość</t>
  </si>
  <si>
    <t>Kapitał Początkowy (PLN)</t>
  </si>
  <si>
    <t>Wydatki Miesięczne dzisiaj (PLN)</t>
  </si>
  <si>
    <t>ZUS Miesięczny dzisiaj (PLN)</t>
  </si>
  <si>
    <t>Wpłaty Miesięczne przed emeryturą (PLN)</t>
  </si>
  <si>
    <t>Inflacja Bazowa Roczna</t>
  </si>
  <si>
    <t>Oczekiwany Zwrot Roczny</t>
  </si>
  <si>
    <t>Wiek Obecny</t>
  </si>
  <si>
    <t>Wiek Emerytalny</t>
  </si>
  <si>
    <t>Horyzont (Zakładany Wiek Końcowy)</t>
  </si>
  <si>
    <t>Podatek od zysków kapitałowych (np. 19% lub 0% IKE)</t>
  </si>
  <si>
    <t>Zmień wartości w zielonych komórkach, aby zaktualizować model.</t>
  </si>
  <si>
    <t>Rok symulacji</t>
  </si>
  <si>
    <t>Wiek</t>
  </si>
  <si>
    <t>Faza</t>
  </si>
  <si>
    <t>Mnożnik Inflacji</t>
  </si>
  <si>
    <t>Kapitał na początku roku</t>
  </si>
  <si>
    <t>Roczne Wpłaty netto</t>
  </si>
  <si>
    <t>Roczne ZUS</t>
  </si>
  <si>
    <t>Wymagane Wydatki Brutto</t>
  </si>
  <si>
    <t>Wypłata z portfela</t>
  </si>
  <si>
    <t>Zysk Rynkowy (Brutto)</t>
  </si>
  <si>
    <t>Baza Kosztowa (do podatku)</t>
  </si>
  <si>
    <t>Podatek Belki</t>
  </si>
  <si>
    <t>Kapitał na koniec roku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</si>
</sst>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right"/>
    </xf>
    <xf numFmtId="4" fontId="0" fillId="3" borderId="1" xfId="0" applyNumberFormat="1" applyFill="1" applyBorder="1"/>
    <xf numFmtId="10" fontId="0" fillId="3" borderId="1" xfId="0" applyNumberFormat="1" applyFill="1" applyBorder="1"/>
    <xf numFmtId="1" fontId="0" fillId="3" borderId="1" xfId="0" applyNumberFormat="1" applyFill="1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10" fontId="0" fillId="0" borderId="1" xfId="0" applyNumberFormat="1" applyBorder="1"/>
    <xf numFmtId="3" fontId="0" fillId="0" borderId="1" xfId="0" applyNumberFormat="1" applyBorder="1"/>
    <xf numFmtId="0" fontId="2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Symulacja Kapitału Emerytalnego (Model Deterministyczny)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Kapitał Końcowy</c:v>
          </c:tx>
          <c:spPr>
            <a:ln w="28575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Model!$B$2:$B$101</c:f>
              <c:strCache>
                <c:ptCount val="13"/>
                <c:pt idx="0">
                  <c:v>53</c:v>
                </c:pt>
                <c:pt idx="1">
                  <c:v>54</c:v>
                </c:pt>
                <c:pt idx="2">
                  <c:v>55</c:v>
                </c:pt>
                <c:pt idx="3">
                  <c:v>56</c:v>
                </c:pt>
                <c:pt idx="4">
                  <c:v>57</c:v>
                </c:pt>
                <c:pt idx="5">
                  <c:v>58</c:v>
                </c:pt>
                <c:pt idx="6">
                  <c:v>59</c:v>
                </c:pt>
                <c:pt idx="7">
                  <c:v>60</c:v>
                </c:pt>
                <c:pt idx="8">
                  <c:v>61</c:v>
                </c:pt>
                <c:pt idx="9">
                  <c:v>62</c:v>
                </c:pt>
                <c:pt idx="10">
                  <c:v>63</c:v>
                </c:pt>
                <c:pt idx="11">
                  <c:v>64</c:v>
                </c:pt>
                <c:pt idx="12">
                  <c:v>65</c:v>
                </c:pt>
              </c:strCache>
            </c:strRef>
          </c:cat>
          <c:val>
            <c:numRef>
              <c:f>Model!$M$2:$M$101</c:f>
              <c:numCache>
                <c:formatCode>#,##0</c:formatCode>
                <c:ptCount val="100"/>
                <c:pt idx="0">
                  <c:v>1087800</c:v>
                </c:pt>
                <c:pt idx="1">
                  <c:v>1181124</c:v>
                </c:pt>
                <c:pt idx="2">
                  <c:v>1280282.22</c:v>
                </c:pt>
                <c:pt idx="3">
                  <c:v>1385601.4116</c:v>
                </c:pt>
                <c:pt idx="4">
                  <c:v>1497425.7151980002</c:v>
                </c:pt>
                <c:pt idx="5">
                  <c:v>1616117.5609664402</c:v>
                </c:pt>
                <c:pt idx="6">
                  <c:v>1742058.6158235585</c:v>
                </c:pt>
                <c:pt idx="7">
                  <c:v>1780421.0035997576</c:v>
                </c:pt>
                <c:pt idx="8">
                  <c:v>1818944.7529198704</c:v>
                </c:pt>
                <c:pt idx="9">
                  <c:v>1857591.4967572968</c:v>
                </c:pt>
                <c:pt idx="10">
                  <c:v>1896319.3504496934</c:v>
                </c:pt>
                <c:pt idx="11">
                  <c:v>1935082.6990902245</c:v>
                </c:pt>
                <c:pt idx="12">
                  <c:v>1973831.9723636052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FA-46B0-8367-7A063F3C1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Wiek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Kapitał (PLN)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13</xdr:col>
      <xdr:colOff>304800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D9" sqref="D9"/>
    </sheetView>
  </sheetViews>
  <sheetFormatPr defaultRowHeight="14.35" x14ac:dyDescent="0.5"/>
  <cols>
    <col min="1" max="1" width="35.703125" customWidth="1"/>
    <col min="2" max="2" width="20.703125" customWidth="1"/>
  </cols>
  <sheetData>
    <row r="1" spans="1:2" x14ac:dyDescent="0.5">
      <c r="A1" s="1" t="s">
        <v>0</v>
      </c>
      <c r="B1" s="1" t="s">
        <v>1</v>
      </c>
    </row>
    <row r="2" spans="1:2" x14ac:dyDescent="0.5">
      <c r="A2" s="2" t="s">
        <v>2</v>
      </c>
      <c r="B2" s="3">
        <v>1000000</v>
      </c>
    </row>
    <row r="3" spans="1:2" x14ac:dyDescent="0.5">
      <c r="A3" s="2" t="s">
        <v>3</v>
      </c>
      <c r="B3" s="3">
        <v>5000</v>
      </c>
    </row>
    <row r="4" spans="1:2" x14ac:dyDescent="0.5">
      <c r="A4" s="2" t="s">
        <v>4</v>
      </c>
      <c r="B4" s="3">
        <v>2000</v>
      </c>
    </row>
    <row r="5" spans="1:2" x14ac:dyDescent="0.5">
      <c r="A5" s="2" t="s">
        <v>5</v>
      </c>
      <c r="B5" s="3">
        <v>3000</v>
      </c>
    </row>
    <row r="6" spans="1:2" x14ac:dyDescent="0.5">
      <c r="A6" s="2" t="s">
        <v>6</v>
      </c>
      <c r="B6" s="4">
        <v>0.03</v>
      </c>
    </row>
    <row r="7" spans="1:2" x14ac:dyDescent="0.5">
      <c r="A7" s="2" t="s">
        <v>7</v>
      </c>
      <c r="B7" s="4">
        <v>0.05</v>
      </c>
    </row>
    <row r="8" spans="1:2" x14ac:dyDescent="0.5">
      <c r="A8" s="2" t="s">
        <v>8</v>
      </c>
      <c r="B8" s="5">
        <v>53</v>
      </c>
    </row>
    <row r="9" spans="1:2" x14ac:dyDescent="0.5">
      <c r="A9" s="2" t="s">
        <v>9</v>
      </c>
      <c r="B9" s="5">
        <v>60</v>
      </c>
    </row>
    <row r="10" spans="1:2" x14ac:dyDescent="0.5">
      <c r="A10" s="2" t="s">
        <v>10</v>
      </c>
      <c r="B10" s="5">
        <v>65</v>
      </c>
    </row>
    <row r="11" spans="1:2" x14ac:dyDescent="0.5">
      <c r="A11" s="2" t="s">
        <v>11</v>
      </c>
      <c r="B11" s="4">
        <v>0.19</v>
      </c>
    </row>
    <row r="14" spans="1:2" x14ac:dyDescent="0.5">
      <c r="A14" s="10" t="s">
        <v>12</v>
      </c>
      <c r="B14" s="10"/>
    </row>
  </sheetData>
  <mergeCells count="1">
    <mergeCell ref="A14:B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1"/>
  <sheetViews>
    <sheetView workbookViewId="0"/>
  </sheetViews>
  <sheetFormatPr defaultRowHeight="14.35" x14ac:dyDescent="0.5"/>
  <cols>
    <col min="1" max="2" width="12.703125" customWidth="1"/>
    <col min="3" max="3" width="15.703125" customWidth="1"/>
    <col min="4" max="4" width="18.703125" customWidth="1"/>
    <col min="5" max="13" width="22.703125" customWidth="1"/>
  </cols>
  <sheetData>
    <row r="1" spans="1:13" x14ac:dyDescent="0.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</row>
    <row r="2" spans="1:13" x14ac:dyDescent="0.5">
      <c r="A2" s="6">
        <f>IF(Parametry!$B$8+1-1&lt;=Parametry!$B$10, 1, "")</f>
        <v>1</v>
      </c>
      <c r="B2" s="6">
        <f>IF(A2="","", Parametry!$B$8+A2-1)</f>
        <v>53</v>
      </c>
      <c r="C2" s="7" t="str">
        <f>IF(A2="","", IF(B2&gt;=Parametry!$B$9, "Dekumulacja", "Akumulacja"))</f>
        <v>Akumulacja</v>
      </c>
      <c r="D2" s="8">
        <f>IF(A2="","", 1)</f>
        <v>1</v>
      </c>
      <c r="E2" s="9">
        <f>IF(A2="","", Parametry!$B$2)</f>
        <v>1000000</v>
      </c>
      <c r="F2" s="9">
        <f>IF(A2="","", IF(C2="Akumulacja", Parametry!$B$5*12*D2, 0))</f>
        <v>36000</v>
      </c>
      <c r="G2" s="9">
        <f>IF(A2="","", IF(C2="Dekumulacja", Parametry!$B$4*12*D2, 0))</f>
        <v>0</v>
      </c>
      <c r="H2" s="9">
        <f>IF(A2="","", IF(C2="Dekumulacja", Parametry!$B$3*12*D2, 0))</f>
        <v>0</v>
      </c>
      <c r="I2" s="9">
        <f t="shared" ref="I2:I33" si="0">IF(A2="","", MAX(0, H2-G2))</f>
        <v>0</v>
      </c>
      <c r="J2" s="9">
        <f>IF(A2="","", MAX(0, E2+F2-I2)*Parametry!$B$7)</f>
        <v>51800</v>
      </c>
      <c r="K2" s="9">
        <f>IF(A2="","", MAX(0, Parametry!$B$2 + F2 - I2 * MIN(1, (Parametry!$B$2) / MAX(1, E2+F2))))</f>
        <v>1036000</v>
      </c>
      <c r="L2" s="9">
        <f>IF(A2="","", IF(Parametry!$B$11&gt;0, I2 * (1 - MIN(1, (Parametry!$B$2) / MAX(1, E2+F2))) * Parametry!$B$11, 0))</f>
        <v>0</v>
      </c>
      <c r="M2" s="9">
        <f t="shared" ref="M2:M33" si="1">IF(A2="","", MAX(0, E2+F2-I2+J2-L2))</f>
        <v>1087800</v>
      </c>
    </row>
    <row r="3" spans="1:13" x14ac:dyDescent="0.5">
      <c r="A3" s="6">
        <f>IF(Parametry!$B$8+2-1&lt;=Parametry!$B$10, 2, "")</f>
        <v>2</v>
      </c>
      <c r="B3" s="6">
        <f>IF(A3="","", Parametry!$B$8+A3-1)</f>
        <v>54</v>
      </c>
      <c r="C3" s="7" t="str">
        <f>IF(A3="","", IF(B3&gt;=Parametry!$B$9, "Dekumulacja", "Akumulacja"))</f>
        <v>Akumulacja</v>
      </c>
      <c r="D3" s="8">
        <f>IF(A3="","", D2*(1+Parametry!$B$6))</f>
        <v>1.03</v>
      </c>
      <c r="E3" s="9">
        <f t="shared" ref="E3:E34" si="2">IF(A3="","", M2)</f>
        <v>1087800</v>
      </c>
      <c r="F3" s="9">
        <f>IF(A3="","", IF(C3="Akumulacja", Parametry!$B$5*12*D3, 0))</f>
        <v>37080</v>
      </c>
      <c r="G3" s="9">
        <f>IF(A3="","", IF(C3="Dekumulacja", Parametry!$B$4*12*D3, 0))</f>
        <v>0</v>
      </c>
      <c r="H3" s="9">
        <f>IF(A3="","", IF(C3="Dekumulacja", Parametry!$B$3*12*D3, 0))</f>
        <v>0</v>
      </c>
      <c r="I3" s="9">
        <f t="shared" si="0"/>
        <v>0</v>
      </c>
      <c r="J3" s="9">
        <f>IF(A3="","", MAX(0, E3+F3-I3)*Parametry!$B$7)</f>
        <v>56244</v>
      </c>
      <c r="K3" s="9">
        <f t="shared" ref="K3:K34" si="3">IF(A3="","", MAX(0, K2 + F3 - I3 * MIN(1, K2 / MAX(1, E3+F3))))</f>
        <v>1073080</v>
      </c>
      <c r="L3" s="9">
        <f>IF(A3="","", IF(Parametry!$B$11&gt;0, I3 * (1 - MIN(1, K2 / MAX(1, E3+F3))) * Parametry!$B$11, 0))</f>
        <v>0</v>
      </c>
      <c r="M3" s="9">
        <f t="shared" si="1"/>
        <v>1181124</v>
      </c>
    </row>
    <row r="4" spans="1:13" x14ac:dyDescent="0.5">
      <c r="A4" s="6">
        <f>IF(Parametry!$B$8+3-1&lt;=Parametry!$B$10, 3, "")</f>
        <v>3</v>
      </c>
      <c r="B4" s="6">
        <f>IF(A4="","", Parametry!$B$8+A4-1)</f>
        <v>55</v>
      </c>
      <c r="C4" s="7" t="str">
        <f>IF(A4="","", IF(B4&gt;=Parametry!$B$9, "Dekumulacja", "Akumulacja"))</f>
        <v>Akumulacja</v>
      </c>
      <c r="D4" s="8">
        <f>IF(A4="","", D3*(1+Parametry!$B$6))</f>
        <v>1.0609</v>
      </c>
      <c r="E4" s="9">
        <f t="shared" si="2"/>
        <v>1181124</v>
      </c>
      <c r="F4" s="9">
        <f>IF(A4="","", IF(C4="Akumulacja", Parametry!$B$5*12*D4, 0))</f>
        <v>38192.400000000001</v>
      </c>
      <c r="G4" s="9">
        <f>IF(A4="","", IF(C4="Dekumulacja", Parametry!$B$4*12*D4, 0))</f>
        <v>0</v>
      </c>
      <c r="H4" s="9">
        <f>IF(A4="","", IF(C4="Dekumulacja", Parametry!$B$3*12*D4, 0))</f>
        <v>0</v>
      </c>
      <c r="I4" s="9">
        <f t="shared" si="0"/>
        <v>0</v>
      </c>
      <c r="J4" s="9">
        <f>IF(A4="","", MAX(0, E4+F4-I4)*Parametry!$B$7)</f>
        <v>60965.82</v>
      </c>
      <c r="K4" s="9">
        <f t="shared" si="3"/>
        <v>1111272.3999999999</v>
      </c>
      <c r="L4" s="9">
        <f>IF(A4="","", IF(Parametry!$B$11&gt;0, I4 * (1 - MIN(1, K3 / MAX(1, E4+F4))) * Parametry!$B$11, 0))</f>
        <v>0</v>
      </c>
      <c r="M4" s="9">
        <f t="shared" si="1"/>
        <v>1280282.22</v>
      </c>
    </row>
    <row r="5" spans="1:13" x14ac:dyDescent="0.5">
      <c r="A5" s="6">
        <f>IF(Parametry!$B$8+4-1&lt;=Parametry!$B$10, 4, "")</f>
        <v>4</v>
      </c>
      <c r="B5" s="6">
        <f>IF(A5="","", Parametry!$B$8+A5-1)</f>
        <v>56</v>
      </c>
      <c r="C5" s="7" t="str">
        <f>IF(A5="","", IF(B5&gt;=Parametry!$B$9, "Dekumulacja", "Akumulacja"))</f>
        <v>Akumulacja</v>
      </c>
      <c r="D5" s="8">
        <f>IF(A5="","", D4*(1+Parametry!$B$6))</f>
        <v>1.092727</v>
      </c>
      <c r="E5" s="9">
        <f t="shared" si="2"/>
        <v>1280282.22</v>
      </c>
      <c r="F5" s="9">
        <f>IF(A5="","", IF(C5="Akumulacja", Parametry!$B$5*12*D5, 0))</f>
        <v>39338.171999999999</v>
      </c>
      <c r="G5" s="9">
        <f>IF(A5="","", IF(C5="Dekumulacja", Parametry!$B$4*12*D5, 0))</f>
        <v>0</v>
      </c>
      <c r="H5" s="9">
        <f>IF(A5="","", IF(C5="Dekumulacja", Parametry!$B$3*12*D5, 0))</f>
        <v>0</v>
      </c>
      <c r="I5" s="9">
        <f t="shared" si="0"/>
        <v>0</v>
      </c>
      <c r="J5" s="9">
        <f>IF(A5="","", MAX(0, E5+F5-I5)*Parametry!$B$7)</f>
        <v>65981.0196</v>
      </c>
      <c r="K5" s="9">
        <f t="shared" si="3"/>
        <v>1150610.5719999999</v>
      </c>
      <c r="L5" s="9">
        <f>IF(A5="","", IF(Parametry!$B$11&gt;0, I5 * (1 - MIN(1, K4 / MAX(1, E5+F5))) * Parametry!$B$11, 0))</f>
        <v>0</v>
      </c>
      <c r="M5" s="9">
        <f t="shared" si="1"/>
        <v>1385601.4116</v>
      </c>
    </row>
    <row r="6" spans="1:13" x14ac:dyDescent="0.5">
      <c r="A6" s="6">
        <f>IF(Parametry!$B$8+5-1&lt;=Parametry!$B$10, 5, "")</f>
        <v>5</v>
      </c>
      <c r="B6" s="6">
        <f>IF(A6="","", Parametry!$B$8+A6-1)</f>
        <v>57</v>
      </c>
      <c r="C6" s="7" t="str">
        <f>IF(A6="","", IF(B6&gt;=Parametry!$B$9, "Dekumulacja", "Akumulacja"))</f>
        <v>Akumulacja</v>
      </c>
      <c r="D6" s="8">
        <f>IF(A6="","", D5*(1+Parametry!$B$6))</f>
        <v>1.1255088100000001</v>
      </c>
      <c r="E6" s="9">
        <f t="shared" si="2"/>
        <v>1385601.4116</v>
      </c>
      <c r="F6" s="9">
        <f>IF(A6="","", IF(C6="Akumulacja", Parametry!$B$5*12*D6, 0))</f>
        <v>40518.317160000006</v>
      </c>
      <c r="G6" s="9">
        <f>IF(A6="","", IF(C6="Dekumulacja", Parametry!$B$4*12*D6, 0))</f>
        <v>0</v>
      </c>
      <c r="H6" s="9">
        <f>IF(A6="","", IF(C6="Dekumulacja", Parametry!$B$3*12*D6, 0))</f>
        <v>0</v>
      </c>
      <c r="I6" s="9">
        <f t="shared" si="0"/>
        <v>0</v>
      </c>
      <c r="J6" s="9">
        <f>IF(A6="","", MAX(0, E6+F6-I6)*Parametry!$B$7)</f>
        <v>71305.986438000007</v>
      </c>
      <c r="K6" s="9">
        <f t="shared" si="3"/>
        <v>1191128.88916</v>
      </c>
      <c r="L6" s="9">
        <f>IF(A6="","", IF(Parametry!$B$11&gt;0, I6 * (1 - MIN(1, K5 / MAX(1, E6+F6))) * Parametry!$B$11, 0))</f>
        <v>0</v>
      </c>
      <c r="M6" s="9">
        <f t="shared" si="1"/>
        <v>1497425.7151980002</v>
      </c>
    </row>
    <row r="7" spans="1:13" x14ac:dyDescent="0.5">
      <c r="A7" s="6">
        <f>IF(Parametry!$B$8+6-1&lt;=Parametry!$B$10, 6, "")</f>
        <v>6</v>
      </c>
      <c r="B7" s="6">
        <f>IF(A7="","", Parametry!$B$8+A7-1)</f>
        <v>58</v>
      </c>
      <c r="C7" s="7" t="str">
        <f>IF(A7="","", IF(B7&gt;=Parametry!$B$9, "Dekumulacja", "Akumulacja"))</f>
        <v>Akumulacja</v>
      </c>
      <c r="D7" s="8">
        <f>IF(A7="","", D6*(1+Parametry!$B$6))</f>
        <v>1.1592740743000001</v>
      </c>
      <c r="E7" s="9">
        <f t="shared" si="2"/>
        <v>1497425.7151980002</v>
      </c>
      <c r="F7" s="9">
        <f>IF(A7="","", IF(C7="Akumulacja", Parametry!$B$5*12*D7, 0))</f>
        <v>41733.866674800003</v>
      </c>
      <c r="G7" s="9">
        <f>IF(A7="","", IF(C7="Dekumulacja", Parametry!$B$4*12*D7, 0))</f>
        <v>0</v>
      </c>
      <c r="H7" s="9">
        <f>IF(A7="","", IF(C7="Dekumulacja", Parametry!$B$3*12*D7, 0))</f>
        <v>0</v>
      </c>
      <c r="I7" s="9">
        <f t="shared" si="0"/>
        <v>0</v>
      </c>
      <c r="J7" s="9">
        <f>IF(A7="","", MAX(0, E7+F7-I7)*Parametry!$B$7)</f>
        <v>76957.97909364001</v>
      </c>
      <c r="K7" s="9">
        <f t="shared" si="3"/>
        <v>1232862.7558348</v>
      </c>
      <c r="L7" s="9">
        <f>IF(A7="","", IF(Parametry!$B$11&gt;0, I7 * (1 - MIN(1, K6 / MAX(1, E7+F7))) * Parametry!$B$11, 0))</f>
        <v>0</v>
      </c>
      <c r="M7" s="9">
        <f t="shared" si="1"/>
        <v>1616117.5609664402</v>
      </c>
    </row>
    <row r="8" spans="1:13" x14ac:dyDescent="0.5">
      <c r="A8" s="6">
        <f>IF(Parametry!$B$8+7-1&lt;=Parametry!$B$10, 7, "")</f>
        <v>7</v>
      </c>
      <c r="B8" s="6">
        <f>IF(A8="","", Parametry!$B$8+A8-1)</f>
        <v>59</v>
      </c>
      <c r="C8" s="7" t="str">
        <f>IF(A8="","", IF(B8&gt;=Parametry!$B$9, "Dekumulacja", "Akumulacja"))</f>
        <v>Akumulacja</v>
      </c>
      <c r="D8" s="8">
        <f>IF(A8="","", D7*(1+Parametry!$B$6))</f>
        <v>1.1940522965290001</v>
      </c>
      <c r="E8" s="9">
        <f t="shared" si="2"/>
        <v>1616117.5609664402</v>
      </c>
      <c r="F8" s="9">
        <f>IF(A8="","", IF(C8="Akumulacja", Parametry!$B$5*12*D8, 0))</f>
        <v>42985.882675044006</v>
      </c>
      <c r="G8" s="9">
        <f>IF(A8="","", IF(C8="Dekumulacja", Parametry!$B$4*12*D8, 0))</f>
        <v>0</v>
      </c>
      <c r="H8" s="9">
        <f>IF(A8="","", IF(C8="Dekumulacja", Parametry!$B$3*12*D8, 0))</f>
        <v>0</v>
      </c>
      <c r="I8" s="9">
        <f t="shared" si="0"/>
        <v>0</v>
      </c>
      <c r="J8" s="9">
        <f>IF(A8="","", MAX(0, E8+F8-I8)*Parametry!$B$7)</f>
        <v>82955.172182074224</v>
      </c>
      <c r="K8" s="9">
        <f t="shared" si="3"/>
        <v>1275848.638509844</v>
      </c>
      <c r="L8" s="9">
        <f>IF(A8="","", IF(Parametry!$B$11&gt;0, I8 * (1 - MIN(1, K7 / MAX(1, E8+F8))) * Parametry!$B$11, 0))</f>
        <v>0</v>
      </c>
      <c r="M8" s="9">
        <f t="shared" si="1"/>
        <v>1742058.6158235585</v>
      </c>
    </row>
    <row r="9" spans="1:13" x14ac:dyDescent="0.5">
      <c r="A9" s="6">
        <f>IF(Parametry!$B$8+8-1&lt;=Parametry!$B$10, 8, "")</f>
        <v>8</v>
      </c>
      <c r="B9" s="6">
        <f>IF(A9="","", Parametry!$B$8+A9-1)</f>
        <v>60</v>
      </c>
      <c r="C9" s="7" t="str">
        <f>IF(A9="","", IF(B9&gt;=Parametry!$B$9, "Dekumulacja", "Akumulacja"))</f>
        <v>Dekumulacja</v>
      </c>
      <c r="D9" s="8">
        <f>IF(A9="","", D8*(1+Parametry!$B$6))</f>
        <v>1.2298738654248702</v>
      </c>
      <c r="E9" s="9">
        <f t="shared" si="2"/>
        <v>1742058.6158235585</v>
      </c>
      <c r="F9" s="9">
        <f>IF(A9="","", IF(C9="Akumulacja", Parametry!$B$5*12*D9, 0))</f>
        <v>0</v>
      </c>
      <c r="G9" s="9">
        <f>IF(A9="","", IF(C9="Dekumulacja", Parametry!$B$4*12*D9, 0))</f>
        <v>29516.972770196884</v>
      </c>
      <c r="H9" s="9">
        <f>IF(A9="","", IF(C9="Dekumulacja", Parametry!$B$3*12*D9, 0))</f>
        <v>73792.431925492216</v>
      </c>
      <c r="I9" s="9">
        <f t="shared" si="0"/>
        <v>44275.459155295335</v>
      </c>
      <c r="J9" s="9">
        <f>IF(A9="","", MAX(0, E9+F9-I9)*Parametry!$B$7)</f>
        <v>84889.157833413163</v>
      </c>
      <c r="K9" s="9">
        <f t="shared" si="3"/>
        <v>1243422.1841014905</v>
      </c>
      <c r="L9" s="9">
        <f>IF(A9="","", IF(Parametry!$B$11&gt;0, I9 * (1 - MIN(1, K8 / MAX(1, E9+F9))) * Parametry!$B$11, 0))</f>
        <v>2251.3109019189778</v>
      </c>
      <c r="M9" s="9">
        <f t="shared" si="1"/>
        <v>1780421.0035997576</v>
      </c>
    </row>
    <row r="10" spans="1:13" x14ac:dyDescent="0.5">
      <c r="A10" s="6">
        <f>IF(Parametry!$B$8+9-1&lt;=Parametry!$B$10, 9, "")</f>
        <v>9</v>
      </c>
      <c r="B10" s="6">
        <f>IF(A10="","", Parametry!$B$8+A10-1)</f>
        <v>61</v>
      </c>
      <c r="C10" s="7" t="str">
        <f>IF(A10="","", IF(B10&gt;=Parametry!$B$9, "Dekumulacja", "Akumulacja"))</f>
        <v>Dekumulacja</v>
      </c>
      <c r="D10" s="8">
        <f>IF(A10="","", D9*(1+Parametry!$B$6))</f>
        <v>1.2667700813876164</v>
      </c>
      <c r="E10" s="9">
        <f t="shared" si="2"/>
        <v>1780421.0035997576</v>
      </c>
      <c r="F10" s="9">
        <f>IF(A10="","", IF(C10="Akumulacja", Parametry!$B$5*12*D10, 0))</f>
        <v>0</v>
      </c>
      <c r="G10" s="9">
        <f>IF(A10="","", IF(C10="Dekumulacja", Parametry!$B$4*12*D10, 0))</f>
        <v>30402.481953302791</v>
      </c>
      <c r="H10" s="9">
        <f>IF(A10="","", IF(C10="Dekumulacja", Parametry!$B$3*12*D10, 0))</f>
        <v>76006.204883256985</v>
      </c>
      <c r="I10" s="9">
        <f t="shared" si="0"/>
        <v>45603.722929954194</v>
      </c>
      <c r="J10" s="9">
        <f>IF(A10="","", MAX(0, E10+F10-I10)*Parametry!$B$7)</f>
        <v>86740.864033490172</v>
      </c>
      <c r="K10" s="9">
        <f t="shared" si="3"/>
        <v>1211573.1547684991</v>
      </c>
      <c r="L10" s="9">
        <f>IF(A10="","", IF(Parametry!$B$11&gt;0, I10 * (1 - MIN(1, K9 / MAX(1, E10+F10))) * Parametry!$B$11, 0))</f>
        <v>2613.3917834229092</v>
      </c>
      <c r="M10" s="9">
        <f t="shared" si="1"/>
        <v>1818944.7529198704</v>
      </c>
    </row>
    <row r="11" spans="1:13" x14ac:dyDescent="0.5">
      <c r="A11" s="6">
        <f>IF(Parametry!$B$8+10-1&lt;=Parametry!$B$10, 10, "")</f>
        <v>10</v>
      </c>
      <c r="B11" s="6">
        <f>IF(A11="","", Parametry!$B$8+A11-1)</f>
        <v>62</v>
      </c>
      <c r="C11" s="7" t="str">
        <f>IF(A11="","", IF(B11&gt;=Parametry!$B$9, "Dekumulacja", "Akumulacja"))</f>
        <v>Dekumulacja</v>
      </c>
      <c r="D11" s="8">
        <f>IF(A11="","", D10*(1+Parametry!$B$6))</f>
        <v>1.3047731838292449</v>
      </c>
      <c r="E11" s="9">
        <f t="shared" si="2"/>
        <v>1818944.7529198704</v>
      </c>
      <c r="F11" s="9">
        <f>IF(A11="","", IF(C11="Akumulacja", Parametry!$B$5*12*D11, 0))</f>
        <v>0</v>
      </c>
      <c r="G11" s="9">
        <f>IF(A11="","", IF(C11="Dekumulacja", Parametry!$B$4*12*D11, 0))</f>
        <v>31314.556411901878</v>
      </c>
      <c r="H11" s="9">
        <f>IF(A11="","", IF(C11="Dekumulacja", Parametry!$B$3*12*D11, 0))</f>
        <v>78286.391029754697</v>
      </c>
      <c r="I11" s="9">
        <f t="shared" si="0"/>
        <v>46971.834617852815</v>
      </c>
      <c r="J11" s="9">
        <f>IF(A11="","", MAX(0, E11+F11-I11)*Parametry!$B$7)</f>
        <v>88598.645915100889</v>
      </c>
      <c r="K11" s="9">
        <f t="shared" si="3"/>
        <v>1180285.8857286554</v>
      </c>
      <c r="L11" s="9">
        <f>IF(A11="","", IF(Parametry!$B$11&gt;0, I11 * (1 - MIN(1, K10 / MAX(1, E11+F11))) * Parametry!$B$11, 0))</f>
        <v>2980.0674598217192</v>
      </c>
      <c r="M11" s="9">
        <f t="shared" si="1"/>
        <v>1857591.4967572968</v>
      </c>
    </row>
    <row r="12" spans="1:13" x14ac:dyDescent="0.5">
      <c r="A12" s="6">
        <f>IF(Parametry!$B$8+11-1&lt;=Parametry!$B$10, 11, "")</f>
        <v>11</v>
      </c>
      <c r="B12" s="6">
        <f>IF(A12="","", Parametry!$B$8+A12-1)</f>
        <v>63</v>
      </c>
      <c r="C12" s="7" t="str">
        <f>IF(A12="","", IF(B12&gt;=Parametry!$B$9, "Dekumulacja", "Akumulacja"))</f>
        <v>Dekumulacja</v>
      </c>
      <c r="D12" s="8">
        <f>IF(A12="","", D11*(1+Parametry!$B$6))</f>
        <v>1.3439163793441222</v>
      </c>
      <c r="E12" s="9">
        <f t="shared" si="2"/>
        <v>1857591.4967572968</v>
      </c>
      <c r="F12" s="9">
        <f>IF(A12="","", IF(C12="Akumulacja", Parametry!$B$5*12*D12, 0))</f>
        <v>0</v>
      </c>
      <c r="G12" s="9">
        <f>IF(A12="","", IF(C12="Dekumulacja", Parametry!$B$4*12*D12, 0))</f>
        <v>32253.993104258934</v>
      </c>
      <c r="H12" s="9">
        <f>IF(A12="","", IF(C12="Dekumulacja", Parametry!$B$3*12*D12, 0))</f>
        <v>80634.982760647326</v>
      </c>
      <c r="I12" s="9">
        <f t="shared" si="0"/>
        <v>48380.989656388396</v>
      </c>
      <c r="J12" s="9">
        <f>IF(A12="","", MAX(0, E12+F12-I12)*Parametry!$B$7)</f>
        <v>90460.525355045436</v>
      </c>
      <c r="K12" s="9">
        <f t="shared" si="3"/>
        <v>1149545.327684165</v>
      </c>
      <c r="L12" s="9">
        <f>IF(A12="","", IF(Parametry!$B$11&gt;0, I12 * (1 - MIN(1, K11 / MAX(1, E12+F12))) * Parametry!$B$11, 0))</f>
        <v>3351.6820062606384</v>
      </c>
      <c r="M12" s="9">
        <f t="shared" si="1"/>
        <v>1896319.3504496934</v>
      </c>
    </row>
    <row r="13" spans="1:13" x14ac:dyDescent="0.5">
      <c r="A13" s="6">
        <f>IF(Parametry!$B$8+12-1&lt;=Parametry!$B$10, 12, "")</f>
        <v>12</v>
      </c>
      <c r="B13" s="6">
        <f>IF(A13="","", Parametry!$B$8+A13-1)</f>
        <v>64</v>
      </c>
      <c r="C13" s="7" t="str">
        <f>IF(A13="","", IF(B13&gt;=Parametry!$B$9, "Dekumulacja", "Akumulacja"))</f>
        <v>Dekumulacja</v>
      </c>
      <c r="D13" s="8">
        <f>IF(A13="","", D12*(1+Parametry!$B$6))</f>
        <v>1.3842338707244459</v>
      </c>
      <c r="E13" s="9">
        <f t="shared" si="2"/>
        <v>1896319.3504496934</v>
      </c>
      <c r="F13" s="9">
        <f>IF(A13="","", IF(C13="Akumulacja", Parametry!$B$5*12*D13, 0))</f>
        <v>0</v>
      </c>
      <c r="G13" s="9">
        <f>IF(A13="","", IF(C13="Dekumulacja", Parametry!$B$4*12*D13, 0))</f>
        <v>33221.612897386702</v>
      </c>
      <c r="H13" s="9">
        <f>IF(A13="","", IF(C13="Dekumulacja", Parametry!$B$3*12*D13, 0))</f>
        <v>83054.032243466761</v>
      </c>
      <c r="I13" s="9">
        <f t="shared" si="0"/>
        <v>49832.41934608006</v>
      </c>
      <c r="J13" s="9">
        <f>IF(A13="","", MAX(0, E13+F13-I13)*Parametry!$B$7)</f>
        <v>92324.346555180673</v>
      </c>
      <c r="K13" s="9">
        <f t="shared" si="3"/>
        <v>1119337.0060673973</v>
      </c>
      <c r="L13" s="9">
        <f>IF(A13="","", IF(Parametry!$B$11&gt;0, I13 * (1 - MIN(1, K12 / MAX(1, E13+F13))) * Parametry!$B$11, 0))</f>
        <v>3728.5785685693513</v>
      </c>
      <c r="M13" s="9">
        <f t="shared" si="1"/>
        <v>1935082.6990902245</v>
      </c>
    </row>
    <row r="14" spans="1:13" x14ac:dyDescent="0.5">
      <c r="A14" s="6">
        <f>IF(Parametry!$B$8+13-1&lt;=Parametry!$B$10, 13, "")</f>
        <v>13</v>
      </c>
      <c r="B14" s="6">
        <f>IF(A14="","", Parametry!$B$8+A14-1)</f>
        <v>65</v>
      </c>
      <c r="C14" s="7" t="str">
        <f>IF(A14="","", IF(B14&gt;=Parametry!$B$9, "Dekumulacja", "Akumulacja"))</f>
        <v>Dekumulacja</v>
      </c>
      <c r="D14" s="8">
        <f>IF(A14="","", D13*(1+Parametry!$B$6))</f>
        <v>1.4257608868461793</v>
      </c>
      <c r="E14" s="9">
        <f t="shared" si="2"/>
        <v>1935082.6990902245</v>
      </c>
      <c r="F14" s="9">
        <f>IF(A14="","", IF(C14="Akumulacja", Parametry!$B$5*12*D14, 0))</f>
        <v>0</v>
      </c>
      <c r="G14" s="9">
        <f>IF(A14="","", IF(C14="Dekumulacja", Parametry!$B$4*12*D14, 0))</f>
        <v>34218.261284308304</v>
      </c>
      <c r="H14" s="9">
        <f>IF(A14="","", IF(C14="Dekumulacja", Parametry!$B$3*12*D14, 0))</f>
        <v>85545.653210770761</v>
      </c>
      <c r="I14" s="9">
        <f t="shared" si="0"/>
        <v>51327.391926462456</v>
      </c>
      <c r="J14" s="9">
        <f>IF(A14="","", MAX(0, E14+F14-I14)*Parametry!$B$7)</f>
        <v>94187.765358188102</v>
      </c>
      <c r="K14" s="9">
        <f t="shared" si="3"/>
        <v>1089646.9833953814</v>
      </c>
      <c r="L14" s="9">
        <f>IF(A14="","", IF(Parametry!$B$11&gt;0, I14 * (1 - MIN(1, K13 / MAX(1, E14+F14))) * Parametry!$B$11, 0))</f>
        <v>4111.1001583448551</v>
      </c>
      <c r="M14" s="9">
        <f t="shared" si="1"/>
        <v>1973831.9723636052</v>
      </c>
    </row>
    <row r="15" spans="1:13" x14ac:dyDescent="0.5">
      <c r="A15" s="6" t="str">
        <f>IF(Parametry!$B$8+14-1&lt;=Parametry!$B$10, 14, "")</f>
        <v/>
      </c>
      <c r="B15" s="6" t="str">
        <f>IF(A15="","", Parametry!$B$8+A15-1)</f>
        <v/>
      </c>
      <c r="C15" s="7" t="str">
        <f>IF(A15="","", IF(B15&gt;=Parametry!$B$9, "Dekumulacja", "Akumulacja"))</f>
        <v/>
      </c>
      <c r="D15" s="8" t="str">
        <f>IF(A15="","", D14*(1+Parametry!$B$6))</f>
        <v/>
      </c>
      <c r="E15" s="9" t="str">
        <f t="shared" si="2"/>
        <v/>
      </c>
      <c r="F15" s="9" t="str">
        <f>IF(A15="","", IF(C15="Akumulacja", Parametry!$B$5*12*D15, 0))</f>
        <v/>
      </c>
      <c r="G15" s="9" t="str">
        <f>IF(A15="","", IF(C15="Dekumulacja", Parametry!$B$4*12*D15, 0))</f>
        <v/>
      </c>
      <c r="H15" s="9" t="str">
        <f>IF(A15="","", IF(C15="Dekumulacja", Parametry!$B$3*12*D15, 0))</f>
        <v/>
      </c>
      <c r="I15" s="9" t="str">
        <f t="shared" si="0"/>
        <v/>
      </c>
      <c r="J15" s="9" t="str">
        <f>IF(A15="","", MAX(0, E15+F15-I15)*Parametry!$B$7)</f>
        <v/>
      </c>
      <c r="K15" s="9" t="str">
        <f t="shared" si="3"/>
        <v/>
      </c>
      <c r="L15" s="9" t="str">
        <f>IF(A15="","", IF(Parametry!$B$11&gt;0, I15 * (1 - MIN(1, K14 / MAX(1, E15+F15))) * Parametry!$B$11, 0))</f>
        <v/>
      </c>
      <c r="M15" s="9" t="str">
        <f t="shared" si="1"/>
        <v/>
      </c>
    </row>
    <row r="16" spans="1:13" x14ac:dyDescent="0.5">
      <c r="A16" s="6" t="str">
        <f>IF(Parametry!$B$8+15-1&lt;=Parametry!$B$10, 15, "")</f>
        <v/>
      </c>
      <c r="B16" s="6" t="str">
        <f>IF(A16="","", Parametry!$B$8+A16-1)</f>
        <v/>
      </c>
      <c r="C16" s="7" t="str">
        <f>IF(A16="","", IF(B16&gt;=Parametry!$B$9, "Dekumulacja", "Akumulacja"))</f>
        <v/>
      </c>
      <c r="D16" s="8" t="str">
        <f>IF(A16="","", D15*(1+Parametry!$B$6))</f>
        <v/>
      </c>
      <c r="E16" s="9" t="str">
        <f t="shared" si="2"/>
        <v/>
      </c>
      <c r="F16" s="9" t="str">
        <f>IF(A16="","", IF(C16="Akumulacja", Parametry!$B$5*12*D16, 0))</f>
        <v/>
      </c>
      <c r="G16" s="9" t="str">
        <f>IF(A16="","", IF(C16="Dekumulacja", Parametry!$B$4*12*D16, 0))</f>
        <v/>
      </c>
      <c r="H16" s="9" t="str">
        <f>IF(A16="","", IF(C16="Dekumulacja", Parametry!$B$3*12*D16, 0))</f>
        <v/>
      </c>
      <c r="I16" s="9" t="str">
        <f t="shared" si="0"/>
        <v/>
      </c>
      <c r="J16" s="9" t="str">
        <f>IF(A16="","", MAX(0, E16+F16-I16)*Parametry!$B$7)</f>
        <v/>
      </c>
      <c r="K16" s="9" t="str">
        <f t="shared" si="3"/>
        <v/>
      </c>
      <c r="L16" s="9" t="str">
        <f>IF(A16="","", IF(Parametry!$B$11&gt;0, I16 * (1 - MIN(1, K15 / MAX(1, E16+F16))) * Parametry!$B$11, 0))</f>
        <v/>
      </c>
      <c r="M16" s="9" t="str">
        <f t="shared" si="1"/>
        <v/>
      </c>
    </row>
    <row r="17" spans="1:13" x14ac:dyDescent="0.5">
      <c r="A17" s="6" t="str">
        <f>IF(Parametry!$B$8+16-1&lt;=Parametry!$B$10, 16, "")</f>
        <v/>
      </c>
      <c r="B17" s="6" t="str">
        <f>IF(A17="","", Parametry!$B$8+A17-1)</f>
        <v/>
      </c>
      <c r="C17" s="7" t="str">
        <f>IF(A17="","", IF(B17&gt;=Parametry!$B$9, "Dekumulacja", "Akumulacja"))</f>
        <v/>
      </c>
      <c r="D17" s="8" t="str">
        <f>IF(A17="","", D16*(1+Parametry!$B$6))</f>
        <v/>
      </c>
      <c r="E17" s="9" t="str">
        <f t="shared" si="2"/>
        <v/>
      </c>
      <c r="F17" s="9" t="str">
        <f>IF(A17="","", IF(C17="Akumulacja", Parametry!$B$5*12*D17, 0))</f>
        <v/>
      </c>
      <c r="G17" s="9" t="str">
        <f>IF(A17="","", IF(C17="Dekumulacja", Parametry!$B$4*12*D17, 0))</f>
        <v/>
      </c>
      <c r="H17" s="9" t="str">
        <f>IF(A17="","", IF(C17="Dekumulacja", Parametry!$B$3*12*D17, 0))</f>
        <v/>
      </c>
      <c r="I17" s="9" t="str">
        <f t="shared" si="0"/>
        <v/>
      </c>
      <c r="J17" s="9" t="str">
        <f>IF(A17="","", MAX(0, E17+F17-I17)*Parametry!$B$7)</f>
        <v/>
      </c>
      <c r="K17" s="9" t="str">
        <f t="shared" si="3"/>
        <v/>
      </c>
      <c r="L17" s="9" t="str">
        <f>IF(A17="","", IF(Parametry!$B$11&gt;0, I17 * (1 - MIN(1, K16 / MAX(1, E17+F17))) * Parametry!$B$11, 0))</f>
        <v/>
      </c>
      <c r="M17" s="9" t="str">
        <f t="shared" si="1"/>
        <v/>
      </c>
    </row>
    <row r="18" spans="1:13" x14ac:dyDescent="0.5">
      <c r="A18" s="6" t="str">
        <f>IF(Parametry!$B$8+17-1&lt;=Parametry!$B$10, 17, "")</f>
        <v/>
      </c>
      <c r="B18" s="6" t="str">
        <f>IF(A18="","", Parametry!$B$8+A18-1)</f>
        <v/>
      </c>
      <c r="C18" s="7" t="str">
        <f>IF(A18="","", IF(B18&gt;=Parametry!$B$9, "Dekumulacja", "Akumulacja"))</f>
        <v/>
      </c>
      <c r="D18" s="8" t="str">
        <f>IF(A18="","", D17*(1+Parametry!$B$6))</f>
        <v/>
      </c>
      <c r="E18" s="9" t="str">
        <f t="shared" si="2"/>
        <v/>
      </c>
      <c r="F18" s="9" t="str">
        <f>IF(A18="","", IF(C18="Akumulacja", Parametry!$B$5*12*D18, 0))</f>
        <v/>
      </c>
      <c r="G18" s="9" t="str">
        <f>IF(A18="","", IF(C18="Dekumulacja", Parametry!$B$4*12*D18, 0))</f>
        <v/>
      </c>
      <c r="H18" s="9" t="str">
        <f>IF(A18="","", IF(C18="Dekumulacja", Parametry!$B$3*12*D18, 0))</f>
        <v/>
      </c>
      <c r="I18" s="9" t="str">
        <f t="shared" si="0"/>
        <v/>
      </c>
      <c r="J18" s="9" t="str">
        <f>IF(A18="","", MAX(0, E18+F18-I18)*Parametry!$B$7)</f>
        <v/>
      </c>
      <c r="K18" s="9" t="str">
        <f t="shared" si="3"/>
        <v/>
      </c>
      <c r="L18" s="9" t="str">
        <f>IF(A18="","", IF(Parametry!$B$11&gt;0, I18 * (1 - MIN(1, K17 / MAX(1, E18+F18))) * Parametry!$B$11, 0))</f>
        <v/>
      </c>
      <c r="M18" s="9" t="str">
        <f t="shared" si="1"/>
        <v/>
      </c>
    </row>
    <row r="19" spans="1:13" x14ac:dyDescent="0.5">
      <c r="A19" s="6" t="str">
        <f>IF(Parametry!$B$8+18-1&lt;=Parametry!$B$10, 18, "")</f>
        <v/>
      </c>
      <c r="B19" s="6" t="str">
        <f>IF(A19="","", Parametry!$B$8+A19-1)</f>
        <v/>
      </c>
      <c r="C19" s="7" t="str">
        <f>IF(A19="","", IF(B19&gt;=Parametry!$B$9, "Dekumulacja", "Akumulacja"))</f>
        <v/>
      </c>
      <c r="D19" s="8" t="str">
        <f>IF(A19="","", D18*(1+Parametry!$B$6))</f>
        <v/>
      </c>
      <c r="E19" s="9" t="str">
        <f t="shared" si="2"/>
        <v/>
      </c>
      <c r="F19" s="9" t="str">
        <f>IF(A19="","", IF(C19="Akumulacja", Parametry!$B$5*12*D19, 0))</f>
        <v/>
      </c>
      <c r="G19" s="9" t="str">
        <f>IF(A19="","", IF(C19="Dekumulacja", Parametry!$B$4*12*D19, 0))</f>
        <v/>
      </c>
      <c r="H19" s="9" t="str">
        <f>IF(A19="","", IF(C19="Dekumulacja", Parametry!$B$3*12*D19, 0))</f>
        <v/>
      </c>
      <c r="I19" s="9" t="str">
        <f t="shared" si="0"/>
        <v/>
      </c>
      <c r="J19" s="9" t="str">
        <f>IF(A19="","", MAX(0, E19+F19-I19)*Parametry!$B$7)</f>
        <v/>
      </c>
      <c r="K19" s="9" t="str">
        <f t="shared" si="3"/>
        <v/>
      </c>
      <c r="L19" s="9" t="str">
        <f>IF(A19="","", IF(Parametry!$B$11&gt;0, I19 * (1 - MIN(1, K18 / MAX(1, E19+F19))) * Parametry!$B$11, 0))</f>
        <v/>
      </c>
      <c r="M19" s="9" t="str">
        <f t="shared" si="1"/>
        <v/>
      </c>
    </row>
    <row r="20" spans="1:13" x14ac:dyDescent="0.5">
      <c r="A20" s="6" t="str">
        <f>IF(Parametry!$B$8+19-1&lt;=Parametry!$B$10, 19, "")</f>
        <v/>
      </c>
      <c r="B20" s="6" t="str">
        <f>IF(A20="","", Parametry!$B$8+A20-1)</f>
        <v/>
      </c>
      <c r="C20" s="7" t="str">
        <f>IF(A20="","", IF(B20&gt;=Parametry!$B$9, "Dekumulacja", "Akumulacja"))</f>
        <v/>
      </c>
      <c r="D20" s="8" t="str">
        <f>IF(A20="","", D19*(1+Parametry!$B$6))</f>
        <v/>
      </c>
      <c r="E20" s="9" t="str">
        <f t="shared" si="2"/>
        <v/>
      </c>
      <c r="F20" s="9" t="str">
        <f>IF(A20="","", IF(C20="Akumulacja", Parametry!$B$5*12*D20, 0))</f>
        <v/>
      </c>
      <c r="G20" s="9" t="str">
        <f>IF(A20="","", IF(C20="Dekumulacja", Parametry!$B$4*12*D20, 0))</f>
        <v/>
      </c>
      <c r="H20" s="9" t="str">
        <f>IF(A20="","", IF(C20="Dekumulacja", Parametry!$B$3*12*D20, 0))</f>
        <v/>
      </c>
      <c r="I20" s="9" t="str">
        <f t="shared" si="0"/>
        <v/>
      </c>
      <c r="J20" s="9" t="str">
        <f>IF(A20="","", MAX(0, E20+F20-I20)*Parametry!$B$7)</f>
        <v/>
      </c>
      <c r="K20" s="9" t="str">
        <f t="shared" si="3"/>
        <v/>
      </c>
      <c r="L20" s="9" t="str">
        <f>IF(A20="","", IF(Parametry!$B$11&gt;0, I20 * (1 - MIN(1, K19 / MAX(1, E20+F20))) * Parametry!$B$11, 0))</f>
        <v/>
      </c>
      <c r="M20" s="9" t="str">
        <f t="shared" si="1"/>
        <v/>
      </c>
    </row>
    <row r="21" spans="1:13" x14ac:dyDescent="0.5">
      <c r="A21" s="6" t="str">
        <f>IF(Parametry!$B$8+20-1&lt;=Parametry!$B$10, 20, "")</f>
        <v/>
      </c>
      <c r="B21" s="6" t="str">
        <f>IF(A21="","", Parametry!$B$8+A21-1)</f>
        <v/>
      </c>
      <c r="C21" s="7" t="str">
        <f>IF(A21="","", IF(B21&gt;=Parametry!$B$9, "Dekumulacja", "Akumulacja"))</f>
        <v/>
      </c>
      <c r="D21" s="8" t="str">
        <f>IF(A21="","", D20*(1+Parametry!$B$6))</f>
        <v/>
      </c>
      <c r="E21" s="9" t="str">
        <f t="shared" si="2"/>
        <v/>
      </c>
      <c r="F21" s="9" t="str">
        <f>IF(A21="","", IF(C21="Akumulacja", Parametry!$B$5*12*D21, 0))</f>
        <v/>
      </c>
      <c r="G21" s="9" t="str">
        <f>IF(A21="","", IF(C21="Dekumulacja", Parametry!$B$4*12*D21, 0))</f>
        <v/>
      </c>
      <c r="H21" s="9" t="str">
        <f>IF(A21="","", IF(C21="Dekumulacja", Parametry!$B$3*12*D21, 0))</f>
        <v/>
      </c>
      <c r="I21" s="9" t="str">
        <f t="shared" si="0"/>
        <v/>
      </c>
      <c r="J21" s="9" t="str">
        <f>IF(A21="","", MAX(0, E21+F21-I21)*Parametry!$B$7)</f>
        <v/>
      </c>
      <c r="K21" s="9" t="str">
        <f t="shared" si="3"/>
        <v/>
      </c>
      <c r="L21" s="9" t="str">
        <f>IF(A21="","", IF(Parametry!$B$11&gt;0, I21 * (1 - MIN(1, K20 / MAX(1, E21+F21))) * Parametry!$B$11, 0))</f>
        <v/>
      </c>
      <c r="M21" s="9" t="str">
        <f t="shared" si="1"/>
        <v/>
      </c>
    </row>
    <row r="22" spans="1:13" x14ac:dyDescent="0.5">
      <c r="A22" s="6" t="str">
        <f>IF(Parametry!$B$8+21-1&lt;=Parametry!$B$10, 21, "")</f>
        <v/>
      </c>
      <c r="B22" s="6" t="str">
        <f>IF(A22="","", Parametry!$B$8+A22-1)</f>
        <v/>
      </c>
      <c r="C22" s="7" t="str">
        <f>IF(A22="","", IF(B22&gt;=Parametry!$B$9, "Dekumulacja", "Akumulacja"))</f>
        <v/>
      </c>
      <c r="D22" s="8" t="str">
        <f>IF(A22="","", D21*(1+Parametry!$B$6))</f>
        <v/>
      </c>
      <c r="E22" s="9" t="str">
        <f t="shared" si="2"/>
        <v/>
      </c>
      <c r="F22" s="9" t="str">
        <f>IF(A22="","", IF(C22="Akumulacja", Parametry!$B$5*12*D22, 0))</f>
        <v/>
      </c>
      <c r="G22" s="9" t="str">
        <f>IF(A22="","", IF(C22="Dekumulacja", Parametry!$B$4*12*D22, 0))</f>
        <v/>
      </c>
      <c r="H22" s="9" t="str">
        <f>IF(A22="","", IF(C22="Dekumulacja", Parametry!$B$3*12*D22, 0))</f>
        <v/>
      </c>
      <c r="I22" s="9" t="str">
        <f t="shared" si="0"/>
        <v/>
      </c>
      <c r="J22" s="9" t="str">
        <f>IF(A22="","", MAX(0, E22+F22-I22)*Parametry!$B$7)</f>
        <v/>
      </c>
      <c r="K22" s="9" t="str">
        <f t="shared" si="3"/>
        <v/>
      </c>
      <c r="L22" s="9" t="str">
        <f>IF(A22="","", IF(Parametry!$B$11&gt;0, I22 * (1 - MIN(1, K21 / MAX(1, E22+F22))) * Parametry!$B$11, 0))</f>
        <v/>
      </c>
      <c r="M22" s="9" t="str">
        <f t="shared" si="1"/>
        <v/>
      </c>
    </row>
    <row r="23" spans="1:13" x14ac:dyDescent="0.5">
      <c r="A23" s="6" t="str">
        <f>IF(Parametry!$B$8+22-1&lt;=Parametry!$B$10, 22, "")</f>
        <v/>
      </c>
      <c r="B23" s="6" t="str">
        <f>IF(A23="","", Parametry!$B$8+A23-1)</f>
        <v/>
      </c>
      <c r="C23" s="7" t="str">
        <f>IF(A23="","", IF(B23&gt;=Parametry!$B$9, "Dekumulacja", "Akumulacja"))</f>
        <v/>
      </c>
      <c r="D23" s="8" t="str">
        <f>IF(A23="","", D22*(1+Parametry!$B$6))</f>
        <v/>
      </c>
      <c r="E23" s="9" t="str">
        <f t="shared" si="2"/>
        <v/>
      </c>
      <c r="F23" s="9" t="str">
        <f>IF(A23="","", IF(C23="Akumulacja", Parametry!$B$5*12*D23, 0))</f>
        <v/>
      </c>
      <c r="G23" s="9" t="str">
        <f>IF(A23="","", IF(C23="Dekumulacja", Parametry!$B$4*12*D23, 0))</f>
        <v/>
      </c>
      <c r="H23" s="9" t="str">
        <f>IF(A23="","", IF(C23="Dekumulacja", Parametry!$B$3*12*D23, 0))</f>
        <v/>
      </c>
      <c r="I23" s="9" t="str">
        <f t="shared" si="0"/>
        <v/>
      </c>
      <c r="J23" s="9" t="str">
        <f>IF(A23="","", MAX(0, E23+F23-I23)*Parametry!$B$7)</f>
        <v/>
      </c>
      <c r="K23" s="9" t="str">
        <f t="shared" si="3"/>
        <v/>
      </c>
      <c r="L23" s="9" t="str">
        <f>IF(A23="","", IF(Parametry!$B$11&gt;0, I23 * (1 - MIN(1, K22 / MAX(1, E23+F23))) * Parametry!$B$11, 0))</f>
        <v/>
      </c>
      <c r="M23" s="9" t="str">
        <f t="shared" si="1"/>
        <v/>
      </c>
    </row>
    <row r="24" spans="1:13" x14ac:dyDescent="0.5">
      <c r="A24" s="6" t="str">
        <f>IF(Parametry!$B$8+23-1&lt;=Parametry!$B$10, 23, "")</f>
        <v/>
      </c>
      <c r="B24" s="6" t="str">
        <f>IF(A24="","", Parametry!$B$8+A24-1)</f>
        <v/>
      </c>
      <c r="C24" s="7" t="str">
        <f>IF(A24="","", IF(B24&gt;=Parametry!$B$9, "Dekumulacja", "Akumulacja"))</f>
        <v/>
      </c>
      <c r="D24" s="8" t="str">
        <f>IF(A24="","", D23*(1+Parametry!$B$6))</f>
        <v/>
      </c>
      <c r="E24" s="9" t="str">
        <f t="shared" si="2"/>
        <v/>
      </c>
      <c r="F24" s="9" t="str">
        <f>IF(A24="","", IF(C24="Akumulacja", Parametry!$B$5*12*D24, 0))</f>
        <v/>
      </c>
      <c r="G24" s="9" t="str">
        <f>IF(A24="","", IF(C24="Dekumulacja", Parametry!$B$4*12*D24, 0))</f>
        <v/>
      </c>
      <c r="H24" s="9" t="str">
        <f>IF(A24="","", IF(C24="Dekumulacja", Parametry!$B$3*12*D24, 0))</f>
        <v/>
      </c>
      <c r="I24" s="9" t="str">
        <f t="shared" si="0"/>
        <v/>
      </c>
      <c r="J24" s="9" t="str">
        <f>IF(A24="","", MAX(0, E24+F24-I24)*Parametry!$B$7)</f>
        <v/>
      </c>
      <c r="K24" s="9" t="str">
        <f t="shared" si="3"/>
        <v/>
      </c>
      <c r="L24" s="9" t="str">
        <f>IF(A24="","", IF(Parametry!$B$11&gt;0, I24 * (1 - MIN(1, K23 / MAX(1, E24+F24))) * Parametry!$B$11, 0))</f>
        <v/>
      </c>
      <c r="M24" s="9" t="str">
        <f t="shared" si="1"/>
        <v/>
      </c>
    </row>
    <row r="25" spans="1:13" x14ac:dyDescent="0.5">
      <c r="A25" s="6" t="str">
        <f>IF(Parametry!$B$8+24-1&lt;=Parametry!$B$10, 24, "")</f>
        <v/>
      </c>
      <c r="B25" s="6" t="str">
        <f>IF(A25="","", Parametry!$B$8+A25-1)</f>
        <v/>
      </c>
      <c r="C25" s="7" t="str">
        <f>IF(A25="","", IF(B25&gt;=Parametry!$B$9, "Dekumulacja", "Akumulacja"))</f>
        <v/>
      </c>
      <c r="D25" s="8" t="str">
        <f>IF(A25="","", D24*(1+Parametry!$B$6))</f>
        <v/>
      </c>
      <c r="E25" s="9" t="str">
        <f t="shared" si="2"/>
        <v/>
      </c>
      <c r="F25" s="9" t="str">
        <f>IF(A25="","", IF(C25="Akumulacja", Parametry!$B$5*12*D25, 0))</f>
        <v/>
      </c>
      <c r="G25" s="9" t="str">
        <f>IF(A25="","", IF(C25="Dekumulacja", Parametry!$B$4*12*D25, 0))</f>
        <v/>
      </c>
      <c r="H25" s="9" t="str">
        <f>IF(A25="","", IF(C25="Dekumulacja", Parametry!$B$3*12*D25, 0))</f>
        <v/>
      </c>
      <c r="I25" s="9" t="str">
        <f t="shared" si="0"/>
        <v/>
      </c>
      <c r="J25" s="9" t="str">
        <f>IF(A25="","", MAX(0, E25+F25-I25)*Parametry!$B$7)</f>
        <v/>
      </c>
      <c r="K25" s="9" t="str">
        <f t="shared" si="3"/>
        <v/>
      </c>
      <c r="L25" s="9" t="str">
        <f>IF(A25="","", IF(Parametry!$B$11&gt;0, I25 * (1 - MIN(1, K24 / MAX(1, E25+F25))) * Parametry!$B$11, 0))</f>
        <v/>
      </c>
      <c r="M25" s="9" t="str">
        <f t="shared" si="1"/>
        <v/>
      </c>
    </row>
    <row r="26" spans="1:13" x14ac:dyDescent="0.5">
      <c r="A26" s="6" t="str">
        <f>IF(Parametry!$B$8+25-1&lt;=Parametry!$B$10, 25, "")</f>
        <v/>
      </c>
      <c r="B26" s="6" t="str">
        <f>IF(A26="","", Parametry!$B$8+A26-1)</f>
        <v/>
      </c>
      <c r="C26" s="7" t="str">
        <f>IF(A26="","", IF(B26&gt;=Parametry!$B$9, "Dekumulacja", "Akumulacja"))</f>
        <v/>
      </c>
      <c r="D26" s="8" t="str">
        <f>IF(A26="","", D25*(1+Parametry!$B$6))</f>
        <v/>
      </c>
      <c r="E26" s="9" t="str">
        <f t="shared" si="2"/>
        <v/>
      </c>
      <c r="F26" s="9" t="str">
        <f>IF(A26="","", IF(C26="Akumulacja", Parametry!$B$5*12*D26, 0))</f>
        <v/>
      </c>
      <c r="G26" s="9" t="str">
        <f>IF(A26="","", IF(C26="Dekumulacja", Parametry!$B$4*12*D26, 0))</f>
        <v/>
      </c>
      <c r="H26" s="9" t="str">
        <f>IF(A26="","", IF(C26="Dekumulacja", Parametry!$B$3*12*D26, 0))</f>
        <v/>
      </c>
      <c r="I26" s="9" t="str">
        <f t="shared" si="0"/>
        <v/>
      </c>
      <c r="J26" s="9" t="str">
        <f>IF(A26="","", MAX(0, E26+F26-I26)*Parametry!$B$7)</f>
        <v/>
      </c>
      <c r="K26" s="9" t="str">
        <f t="shared" si="3"/>
        <v/>
      </c>
      <c r="L26" s="9" t="str">
        <f>IF(A26="","", IF(Parametry!$B$11&gt;0, I26 * (1 - MIN(1, K25 / MAX(1, E26+F26))) * Parametry!$B$11, 0))</f>
        <v/>
      </c>
      <c r="M26" s="9" t="str">
        <f t="shared" si="1"/>
        <v/>
      </c>
    </row>
    <row r="27" spans="1:13" x14ac:dyDescent="0.5">
      <c r="A27" s="6" t="str">
        <f>IF(Parametry!$B$8+26-1&lt;=Parametry!$B$10, 26, "")</f>
        <v/>
      </c>
      <c r="B27" s="6" t="str">
        <f>IF(A27="","", Parametry!$B$8+A27-1)</f>
        <v/>
      </c>
      <c r="C27" s="7" t="str">
        <f>IF(A27="","", IF(B27&gt;=Parametry!$B$9, "Dekumulacja", "Akumulacja"))</f>
        <v/>
      </c>
      <c r="D27" s="8" t="str">
        <f>IF(A27="","", D26*(1+Parametry!$B$6))</f>
        <v/>
      </c>
      <c r="E27" s="9" t="str">
        <f t="shared" si="2"/>
        <v/>
      </c>
      <c r="F27" s="9" t="str">
        <f>IF(A27="","", IF(C27="Akumulacja", Parametry!$B$5*12*D27, 0))</f>
        <v/>
      </c>
      <c r="G27" s="9" t="str">
        <f>IF(A27="","", IF(C27="Dekumulacja", Parametry!$B$4*12*D27, 0))</f>
        <v/>
      </c>
      <c r="H27" s="9" t="str">
        <f>IF(A27="","", IF(C27="Dekumulacja", Parametry!$B$3*12*D27, 0))</f>
        <v/>
      </c>
      <c r="I27" s="9" t="str">
        <f t="shared" si="0"/>
        <v/>
      </c>
      <c r="J27" s="9" t="str">
        <f>IF(A27="","", MAX(0, E27+F27-I27)*Parametry!$B$7)</f>
        <v/>
      </c>
      <c r="K27" s="9" t="str">
        <f t="shared" si="3"/>
        <v/>
      </c>
      <c r="L27" s="9" t="str">
        <f>IF(A27="","", IF(Parametry!$B$11&gt;0, I27 * (1 - MIN(1, K26 / MAX(1, E27+F27))) * Parametry!$B$11, 0))</f>
        <v/>
      </c>
      <c r="M27" s="9" t="str">
        <f t="shared" si="1"/>
        <v/>
      </c>
    </row>
    <row r="28" spans="1:13" x14ac:dyDescent="0.5">
      <c r="A28" s="6" t="str">
        <f>IF(Parametry!$B$8+27-1&lt;=Parametry!$B$10, 27, "")</f>
        <v/>
      </c>
      <c r="B28" s="6" t="str">
        <f>IF(A28="","", Parametry!$B$8+A28-1)</f>
        <v/>
      </c>
      <c r="C28" s="7" t="str">
        <f>IF(A28="","", IF(B28&gt;=Parametry!$B$9, "Dekumulacja", "Akumulacja"))</f>
        <v/>
      </c>
      <c r="D28" s="8" t="str">
        <f>IF(A28="","", D27*(1+Parametry!$B$6))</f>
        <v/>
      </c>
      <c r="E28" s="9" t="str">
        <f t="shared" si="2"/>
        <v/>
      </c>
      <c r="F28" s="9" t="str">
        <f>IF(A28="","", IF(C28="Akumulacja", Parametry!$B$5*12*D28, 0))</f>
        <v/>
      </c>
      <c r="G28" s="9" t="str">
        <f>IF(A28="","", IF(C28="Dekumulacja", Parametry!$B$4*12*D28, 0))</f>
        <v/>
      </c>
      <c r="H28" s="9" t="str">
        <f>IF(A28="","", IF(C28="Dekumulacja", Parametry!$B$3*12*D28, 0))</f>
        <v/>
      </c>
      <c r="I28" s="9" t="str">
        <f t="shared" si="0"/>
        <v/>
      </c>
      <c r="J28" s="9" t="str">
        <f>IF(A28="","", MAX(0, E28+F28-I28)*Parametry!$B$7)</f>
        <v/>
      </c>
      <c r="K28" s="9" t="str">
        <f t="shared" si="3"/>
        <v/>
      </c>
      <c r="L28" s="9" t="str">
        <f>IF(A28="","", IF(Parametry!$B$11&gt;0, I28 * (1 - MIN(1, K27 / MAX(1, E28+F28))) * Parametry!$B$11, 0))</f>
        <v/>
      </c>
      <c r="M28" s="9" t="str">
        <f t="shared" si="1"/>
        <v/>
      </c>
    </row>
    <row r="29" spans="1:13" x14ac:dyDescent="0.5">
      <c r="A29" s="6" t="str">
        <f>IF(Parametry!$B$8+28-1&lt;=Parametry!$B$10, 28, "")</f>
        <v/>
      </c>
      <c r="B29" s="6" t="str">
        <f>IF(A29="","", Parametry!$B$8+A29-1)</f>
        <v/>
      </c>
      <c r="C29" s="7" t="str">
        <f>IF(A29="","", IF(B29&gt;=Parametry!$B$9, "Dekumulacja", "Akumulacja"))</f>
        <v/>
      </c>
      <c r="D29" s="8" t="str">
        <f>IF(A29="","", D28*(1+Parametry!$B$6))</f>
        <v/>
      </c>
      <c r="E29" s="9" t="str">
        <f t="shared" si="2"/>
        <v/>
      </c>
      <c r="F29" s="9" t="str">
        <f>IF(A29="","", IF(C29="Akumulacja", Parametry!$B$5*12*D29, 0))</f>
        <v/>
      </c>
      <c r="G29" s="9" t="str">
        <f>IF(A29="","", IF(C29="Dekumulacja", Parametry!$B$4*12*D29, 0))</f>
        <v/>
      </c>
      <c r="H29" s="9" t="str">
        <f>IF(A29="","", IF(C29="Dekumulacja", Parametry!$B$3*12*D29, 0))</f>
        <v/>
      </c>
      <c r="I29" s="9" t="str">
        <f t="shared" si="0"/>
        <v/>
      </c>
      <c r="J29" s="9" t="str">
        <f>IF(A29="","", MAX(0, E29+F29-I29)*Parametry!$B$7)</f>
        <v/>
      </c>
      <c r="K29" s="9" t="str">
        <f t="shared" si="3"/>
        <v/>
      </c>
      <c r="L29" s="9" t="str">
        <f>IF(A29="","", IF(Parametry!$B$11&gt;0, I29 * (1 - MIN(1, K28 / MAX(1, E29+F29))) * Parametry!$B$11, 0))</f>
        <v/>
      </c>
      <c r="M29" s="9" t="str">
        <f t="shared" si="1"/>
        <v/>
      </c>
    </row>
    <row r="30" spans="1:13" x14ac:dyDescent="0.5">
      <c r="A30" s="6" t="str">
        <f>IF(Parametry!$B$8+29-1&lt;=Parametry!$B$10, 29, "")</f>
        <v/>
      </c>
      <c r="B30" s="6" t="str">
        <f>IF(A30="","", Parametry!$B$8+A30-1)</f>
        <v/>
      </c>
      <c r="C30" s="7" t="str">
        <f>IF(A30="","", IF(B30&gt;=Parametry!$B$9, "Dekumulacja", "Akumulacja"))</f>
        <v/>
      </c>
      <c r="D30" s="8" t="str">
        <f>IF(A30="","", D29*(1+Parametry!$B$6))</f>
        <v/>
      </c>
      <c r="E30" s="9" t="str">
        <f t="shared" si="2"/>
        <v/>
      </c>
      <c r="F30" s="9" t="str">
        <f>IF(A30="","", IF(C30="Akumulacja", Parametry!$B$5*12*D30, 0))</f>
        <v/>
      </c>
      <c r="G30" s="9" t="str">
        <f>IF(A30="","", IF(C30="Dekumulacja", Parametry!$B$4*12*D30, 0))</f>
        <v/>
      </c>
      <c r="H30" s="9" t="str">
        <f>IF(A30="","", IF(C30="Dekumulacja", Parametry!$B$3*12*D30, 0))</f>
        <v/>
      </c>
      <c r="I30" s="9" t="str">
        <f t="shared" si="0"/>
        <v/>
      </c>
      <c r="J30" s="9" t="str">
        <f>IF(A30="","", MAX(0, E30+F30-I30)*Parametry!$B$7)</f>
        <v/>
      </c>
      <c r="K30" s="9" t="str">
        <f t="shared" si="3"/>
        <v/>
      </c>
      <c r="L30" s="9" t="str">
        <f>IF(A30="","", IF(Parametry!$B$11&gt;0, I30 * (1 - MIN(1, K29 / MAX(1, E30+F30))) * Parametry!$B$11, 0))</f>
        <v/>
      </c>
      <c r="M30" s="9" t="str">
        <f t="shared" si="1"/>
        <v/>
      </c>
    </row>
    <row r="31" spans="1:13" x14ac:dyDescent="0.5">
      <c r="A31" s="6" t="str">
        <f>IF(Parametry!$B$8+30-1&lt;=Parametry!$B$10, 30, "")</f>
        <v/>
      </c>
      <c r="B31" s="6" t="str">
        <f>IF(A31="","", Parametry!$B$8+A31-1)</f>
        <v/>
      </c>
      <c r="C31" s="7" t="str">
        <f>IF(A31="","", IF(B31&gt;=Parametry!$B$9, "Dekumulacja", "Akumulacja"))</f>
        <v/>
      </c>
      <c r="D31" s="8" t="str">
        <f>IF(A31="","", D30*(1+Parametry!$B$6))</f>
        <v/>
      </c>
      <c r="E31" s="9" t="str">
        <f t="shared" si="2"/>
        <v/>
      </c>
      <c r="F31" s="9" t="str">
        <f>IF(A31="","", IF(C31="Akumulacja", Parametry!$B$5*12*D31, 0))</f>
        <v/>
      </c>
      <c r="G31" s="9" t="str">
        <f>IF(A31="","", IF(C31="Dekumulacja", Parametry!$B$4*12*D31, 0))</f>
        <v/>
      </c>
      <c r="H31" s="9" t="str">
        <f>IF(A31="","", IF(C31="Dekumulacja", Parametry!$B$3*12*D31, 0))</f>
        <v/>
      </c>
      <c r="I31" s="9" t="str">
        <f t="shared" si="0"/>
        <v/>
      </c>
      <c r="J31" s="9" t="str">
        <f>IF(A31="","", MAX(0, E31+F31-I31)*Parametry!$B$7)</f>
        <v/>
      </c>
      <c r="K31" s="9" t="str">
        <f t="shared" si="3"/>
        <v/>
      </c>
      <c r="L31" s="9" t="str">
        <f>IF(A31="","", IF(Parametry!$B$11&gt;0, I31 * (1 - MIN(1, K30 / MAX(1, E31+F31))) * Parametry!$B$11, 0))</f>
        <v/>
      </c>
      <c r="M31" s="9" t="str">
        <f t="shared" si="1"/>
        <v/>
      </c>
    </row>
    <row r="32" spans="1:13" x14ac:dyDescent="0.5">
      <c r="A32" s="6" t="str">
        <f>IF(Parametry!$B$8+31-1&lt;=Parametry!$B$10, 31, "")</f>
        <v/>
      </c>
      <c r="B32" s="6" t="str">
        <f>IF(A32="","", Parametry!$B$8+A32-1)</f>
        <v/>
      </c>
      <c r="C32" s="7" t="str">
        <f>IF(A32="","", IF(B32&gt;=Parametry!$B$9, "Dekumulacja", "Akumulacja"))</f>
        <v/>
      </c>
      <c r="D32" s="8" t="str">
        <f>IF(A32="","", D31*(1+Parametry!$B$6))</f>
        <v/>
      </c>
      <c r="E32" s="9" t="str">
        <f t="shared" si="2"/>
        <v/>
      </c>
      <c r="F32" s="9" t="str">
        <f>IF(A32="","", IF(C32="Akumulacja", Parametry!$B$5*12*D32, 0))</f>
        <v/>
      </c>
      <c r="G32" s="9" t="str">
        <f>IF(A32="","", IF(C32="Dekumulacja", Parametry!$B$4*12*D32, 0))</f>
        <v/>
      </c>
      <c r="H32" s="9" t="str">
        <f>IF(A32="","", IF(C32="Dekumulacja", Parametry!$B$3*12*D32, 0))</f>
        <v/>
      </c>
      <c r="I32" s="9" t="str">
        <f t="shared" si="0"/>
        <v/>
      </c>
      <c r="J32" s="9" t="str">
        <f>IF(A32="","", MAX(0, E32+F32-I32)*Parametry!$B$7)</f>
        <v/>
      </c>
      <c r="K32" s="9" t="str">
        <f t="shared" si="3"/>
        <v/>
      </c>
      <c r="L32" s="9" t="str">
        <f>IF(A32="","", IF(Parametry!$B$11&gt;0, I32 * (1 - MIN(1, K31 / MAX(1, E32+F32))) * Parametry!$B$11, 0))</f>
        <v/>
      </c>
      <c r="M32" s="9" t="str">
        <f t="shared" si="1"/>
        <v/>
      </c>
    </row>
    <row r="33" spans="1:13" x14ac:dyDescent="0.5">
      <c r="A33" s="6" t="str">
        <f>IF(Parametry!$B$8+32-1&lt;=Parametry!$B$10, 32, "")</f>
        <v/>
      </c>
      <c r="B33" s="6" t="str">
        <f>IF(A33="","", Parametry!$B$8+A33-1)</f>
        <v/>
      </c>
      <c r="C33" s="7" t="str">
        <f>IF(A33="","", IF(B33&gt;=Parametry!$B$9, "Dekumulacja", "Akumulacja"))</f>
        <v/>
      </c>
      <c r="D33" s="8" t="str">
        <f>IF(A33="","", D32*(1+Parametry!$B$6))</f>
        <v/>
      </c>
      <c r="E33" s="9" t="str">
        <f t="shared" si="2"/>
        <v/>
      </c>
      <c r="F33" s="9" t="str">
        <f>IF(A33="","", IF(C33="Akumulacja", Parametry!$B$5*12*D33, 0))</f>
        <v/>
      </c>
      <c r="G33" s="9" t="str">
        <f>IF(A33="","", IF(C33="Dekumulacja", Parametry!$B$4*12*D33, 0))</f>
        <v/>
      </c>
      <c r="H33" s="9" t="str">
        <f>IF(A33="","", IF(C33="Dekumulacja", Parametry!$B$3*12*D33, 0))</f>
        <v/>
      </c>
      <c r="I33" s="9" t="str">
        <f t="shared" si="0"/>
        <v/>
      </c>
      <c r="J33" s="9" t="str">
        <f>IF(A33="","", MAX(0, E33+F33-I33)*Parametry!$B$7)</f>
        <v/>
      </c>
      <c r="K33" s="9" t="str">
        <f t="shared" si="3"/>
        <v/>
      </c>
      <c r="L33" s="9" t="str">
        <f>IF(A33="","", IF(Parametry!$B$11&gt;0, I33 * (1 - MIN(1, K32 / MAX(1, E33+F33))) * Parametry!$B$11, 0))</f>
        <v/>
      </c>
      <c r="M33" s="9" t="str">
        <f t="shared" si="1"/>
        <v/>
      </c>
    </row>
    <row r="34" spans="1:13" x14ac:dyDescent="0.5">
      <c r="A34" s="6" t="str">
        <f>IF(Parametry!$B$8+33-1&lt;=Parametry!$B$10, 33, "")</f>
        <v/>
      </c>
      <c r="B34" s="6" t="str">
        <f>IF(A34="","", Parametry!$B$8+A34-1)</f>
        <v/>
      </c>
      <c r="C34" s="7" t="str">
        <f>IF(A34="","", IF(B34&gt;=Parametry!$B$9, "Dekumulacja", "Akumulacja"))</f>
        <v/>
      </c>
      <c r="D34" s="8" t="str">
        <f>IF(A34="","", D33*(1+Parametry!$B$6))</f>
        <v/>
      </c>
      <c r="E34" s="9" t="str">
        <f t="shared" si="2"/>
        <v/>
      </c>
      <c r="F34" s="9" t="str">
        <f>IF(A34="","", IF(C34="Akumulacja", Parametry!$B$5*12*D34, 0))</f>
        <v/>
      </c>
      <c r="G34" s="9" t="str">
        <f>IF(A34="","", IF(C34="Dekumulacja", Parametry!$B$4*12*D34, 0))</f>
        <v/>
      </c>
      <c r="H34" s="9" t="str">
        <f>IF(A34="","", IF(C34="Dekumulacja", Parametry!$B$3*12*D34, 0))</f>
        <v/>
      </c>
      <c r="I34" s="9" t="str">
        <f t="shared" ref="I34:I65" si="4">IF(A34="","", MAX(0, H34-G34))</f>
        <v/>
      </c>
      <c r="J34" s="9" t="str">
        <f>IF(A34="","", MAX(0, E34+F34-I34)*Parametry!$B$7)</f>
        <v/>
      </c>
      <c r="K34" s="9" t="str">
        <f t="shared" si="3"/>
        <v/>
      </c>
      <c r="L34" s="9" t="str">
        <f>IF(A34="","", IF(Parametry!$B$11&gt;0, I34 * (1 - MIN(1, K33 / MAX(1, E34+F34))) * Parametry!$B$11, 0))</f>
        <v/>
      </c>
      <c r="M34" s="9" t="str">
        <f t="shared" ref="M34:M65" si="5">IF(A34="","", MAX(0, E34+F34-I34+J34-L34))</f>
        <v/>
      </c>
    </row>
    <row r="35" spans="1:13" x14ac:dyDescent="0.5">
      <c r="A35" s="6" t="str">
        <f>IF(Parametry!$B$8+34-1&lt;=Parametry!$B$10, 34, "")</f>
        <v/>
      </c>
      <c r="B35" s="6" t="str">
        <f>IF(A35="","", Parametry!$B$8+A35-1)</f>
        <v/>
      </c>
      <c r="C35" s="7" t="str">
        <f>IF(A35="","", IF(B35&gt;=Parametry!$B$9, "Dekumulacja", "Akumulacja"))</f>
        <v/>
      </c>
      <c r="D35" s="8" t="str">
        <f>IF(A35="","", D34*(1+Parametry!$B$6))</f>
        <v/>
      </c>
      <c r="E35" s="9" t="str">
        <f t="shared" ref="E35:E66" si="6">IF(A35="","", M34)</f>
        <v/>
      </c>
      <c r="F35" s="9" t="str">
        <f>IF(A35="","", IF(C35="Akumulacja", Parametry!$B$5*12*D35, 0))</f>
        <v/>
      </c>
      <c r="G35" s="9" t="str">
        <f>IF(A35="","", IF(C35="Dekumulacja", Parametry!$B$4*12*D35, 0))</f>
        <v/>
      </c>
      <c r="H35" s="9" t="str">
        <f>IF(A35="","", IF(C35="Dekumulacja", Parametry!$B$3*12*D35, 0))</f>
        <v/>
      </c>
      <c r="I35" s="9" t="str">
        <f t="shared" si="4"/>
        <v/>
      </c>
      <c r="J35" s="9" t="str">
        <f>IF(A35="","", MAX(0, E35+F35-I35)*Parametry!$B$7)</f>
        <v/>
      </c>
      <c r="K35" s="9" t="str">
        <f t="shared" ref="K35:K66" si="7">IF(A35="","", MAX(0, K34 + F35 - I35 * MIN(1, K34 / MAX(1, E35+F35))))</f>
        <v/>
      </c>
      <c r="L35" s="9" t="str">
        <f>IF(A35="","", IF(Parametry!$B$11&gt;0, I35 * (1 - MIN(1, K34 / MAX(1, E35+F35))) * Parametry!$B$11, 0))</f>
        <v/>
      </c>
      <c r="M35" s="9" t="str">
        <f t="shared" si="5"/>
        <v/>
      </c>
    </row>
    <row r="36" spans="1:13" x14ac:dyDescent="0.5">
      <c r="A36" s="6" t="str">
        <f>IF(Parametry!$B$8+35-1&lt;=Parametry!$B$10, 35, "")</f>
        <v/>
      </c>
      <c r="B36" s="6" t="str">
        <f>IF(A36="","", Parametry!$B$8+A36-1)</f>
        <v/>
      </c>
      <c r="C36" s="7" t="str">
        <f>IF(A36="","", IF(B36&gt;=Parametry!$B$9, "Dekumulacja", "Akumulacja"))</f>
        <v/>
      </c>
      <c r="D36" s="8" t="str">
        <f>IF(A36="","", D35*(1+Parametry!$B$6))</f>
        <v/>
      </c>
      <c r="E36" s="9" t="str">
        <f t="shared" si="6"/>
        <v/>
      </c>
      <c r="F36" s="9" t="str">
        <f>IF(A36="","", IF(C36="Akumulacja", Parametry!$B$5*12*D36, 0))</f>
        <v/>
      </c>
      <c r="G36" s="9" t="str">
        <f>IF(A36="","", IF(C36="Dekumulacja", Parametry!$B$4*12*D36, 0))</f>
        <v/>
      </c>
      <c r="H36" s="9" t="str">
        <f>IF(A36="","", IF(C36="Dekumulacja", Parametry!$B$3*12*D36, 0))</f>
        <v/>
      </c>
      <c r="I36" s="9" t="str">
        <f t="shared" si="4"/>
        <v/>
      </c>
      <c r="J36" s="9" t="str">
        <f>IF(A36="","", MAX(0, E36+F36-I36)*Parametry!$B$7)</f>
        <v/>
      </c>
      <c r="K36" s="9" t="str">
        <f t="shared" si="7"/>
        <v/>
      </c>
      <c r="L36" s="9" t="str">
        <f>IF(A36="","", IF(Parametry!$B$11&gt;0, I36 * (1 - MIN(1, K35 / MAX(1, E36+F36))) * Parametry!$B$11, 0))</f>
        <v/>
      </c>
      <c r="M36" s="9" t="str">
        <f t="shared" si="5"/>
        <v/>
      </c>
    </row>
    <row r="37" spans="1:13" x14ac:dyDescent="0.5">
      <c r="A37" s="6" t="str">
        <f>IF(Parametry!$B$8+36-1&lt;=Parametry!$B$10, 36, "")</f>
        <v/>
      </c>
      <c r="B37" s="6" t="str">
        <f>IF(A37="","", Parametry!$B$8+A37-1)</f>
        <v/>
      </c>
      <c r="C37" s="7" t="str">
        <f>IF(A37="","", IF(B37&gt;=Parametry!$B$9, "Dekumulacja", "Akumulacja"))</f>
        <v/>
      </c>
      <c r="D37" s="8" t="str">
        <f>IF(A37="","", D36*(1+Parametry!$B$6))</f>
        <v/>
      </c>
      <c r="E37" s="9" t="str">
        <f t="shared" si="6"/>
        <v/>
      </c>
      <c r="F37" s="9" t="str">
        <f>IF(A37="","", IF(C37="Akumulacja", Parametry!$B$5*12*D37, 0))</f>
        <v/>
      </c>
      <c r="G37" s="9" t="str">
        <f>IF(A37="","", IF(C37="Dekumulacja", Parametry!$B$4*12*D37, 0))</f>
        <v/>
      </c>
      <c r="H37" s="9" t="str">
        <f>IF(A37="","", IF(C37="Dekumulacja", Parametry!$B$3*12*D37, 0))</f>
        <v/>
      </c>
      <c r="I37" s="9" t="str">
        <f t="shared" si="4"/>
        <v/>
      </c>
      <c r="J37" s="9" t="str">
        <f>IF(A37="","", MAX(0, E37+F37-I37)*Parametry!$B$7)</f>
        <v/>
      </c>
      <c r="K37" s="9" t="str">
        <f t="shared" si="7"/>
        <v/>
      </c>
      <c r="L37" s="9" t="str">
        <f>IF(A37="","", IF(Parametry!$B$11&gt;0, I37 * (1 - MIN(1, K36 / MAX(1, E37+F37))) * Parametry!$B$11, 0))</f>
        <v/>
      </c>
      <c r="M37" s="9" t="str">
        <f t="shared" si="5"/>
        <v/>
      </c>
    </row>
    <row r="38" spans="1:13" x14ac:dyDescent="0.5">
      <c r="A38" s="6" t="str">
        <f>IF(Parametry!$B$8+37-1&lt;=Parametry!$B$10, 37, "")</f>
        <v/>
      </c>
      <c r="B38" s="6" t="str">
        <f>IF(A38="","", Parametry!$B$8+A38-1)</f>
        <v/>
      </c>
      <c r="C38" s="7" t="str">
        <f>IF(A38="","", IF(B38&gt;=Parametry!$B$9, "Dekumulacja", "Akumulacja"))</f>
        <v/>
      </c>
      <c r="D38" s="8" t="str">
        <f>IF(A38="","", D37*(1+Parametry!$B$6))</f>
        <v/>
      </c>
      <c r="E38" s="9" t="str">
        <f t="shared" si="6"/>
        <v/>
      </c>
      <c r="F38" s="9" t="str">
        <f>IF(A38="","", IF(C38="Akumulacja", Parametry!$B$5*12*D38, 0))</f>
        <v/>
      </c>
      <c r="G38" s="9" t="str">
        <f>IF(A38="","", IF(C38="Dekumulacja", Parametry!$B$4*12*D38, 0))</f>
        <v/>
      </c>
      <c r="H38" s="9" t="str">
        <f>IF(A38="","", IF(C38="Dekumulacja", Parametry!$B$3*12*D38, 0))</f>
        <v/>
      </c>
      <c r="I38" s="9" t="str">
        <f t="shared" si="4"/>
        <v/>
      </c>
      <c r="J38" s="9" t="str">
        <f>IF(A38="","", MAX(0, E38+F38-I38)*Parametry!$B$7)</f>
        <v/>
      </c>
      <c r="K38" s="9" t="str">
        <f t="shared" si="7"/>
        <v/>
      </c>
      <c r="L38" s="9" t="str">
        <f>IF(A38="","", IF(Parametry!$B$11&gt;0, I38 * (1 - MIN(1, K37 / MAX(1, E38+F38))) * Parametry!$B$11, 0))</f>
        <v/>
      </c>
      <c r="M38" s="9" t="str">
        <f t="shared" si="5"/>
        <v/>
      </c>
    </row>
    <row r="39" spans="1:13" x14ac:dyDescent="0.5">
      <c r="A39" s="6" t="str">
        <f>IF(Parametry!$B$8+38-1&lt;=Parametry!$B$10, 38, "")</f>
        <v/>
      </c>
      <c r="B39" s="6" t="str">
        <f>IF(A39="","", Parametry!$B$8+A39-1)</f>
        <v/>
      </c>
      <c r="C39" s="7" t="str">
        <f>IF(A39="","", IF(B39&gt;=Parametry!$B$9, "Dekumulacja", "Akumulacja"))</f>
        <v/>
      </c>
      <c r="D39" s="8" t="str">
        <f>IF(A39="","", D38*(1+Parametry!$B$6))</f>
        <v/>
      </c>
      <c r="E39" s="9" t="str">
        <f t="shared" si="6"/>
        <v/>
      </c>
      <c r="F39" s="9" t="str">
        <f>IF(A39="","", IF(C39="Akumulacja", Parametry!$B$5*12*D39, 0))</f>
        <v/>
      </c>
      <c r="G39" s="9" t="str">
        <f>IF(A39="","", IF(C39="Dekumulacja", Parametry!$B$4*12*D39, 0))</f>
        <v/>
      </c>
      <c r="H39" s="9" t="str">
        <f>IF(A39="","", IF(C39="Dekumulacja", Parametry!$B$3*12*D39, 0))</f>
        <v/>
      </c>
      <c r="I39" s="9" t="str">
        <f t="shared" si="4"/>
        <v/>
      </c>
      <c r="J39" s="9" t="str">
        <f>IF(A39="","", MAX(0, E39+F39-I39)*Parametry!$B$7)</f>
        <v/>
      </c>
      <c r="K39" s="9" t="str">
        <f t="shared" si="7"/>
        <v/>
      </c>
      <c r="L39" s="9" t="str">
        <f>IF(A39="","", IF(Parametry!$B$11&gt;0, I39 * (1 - MIN(1, K38 / MAX(1, E39+F39))) * Parametry!$B$11, 0))</f>
        <v/>
      </c>
      <c r="M39" s="9" t="str">
        <f t="shared" si="5"/>
        <v/>
      </c>
    </row>
    <row r="40" spans="1:13" x14ac:dyDescent="0.5">
      <c r="A40" s="6" t="str">
        <f>IF(Parametry!$B$8+39-1&lt;=Parametry!$B$10, 39, "")</f>
        <v/>
      </c>
      <c r="B40" s="6" t="str">
        <f>IF(A40="","", Parametry!$B$8+A40-1)</f>
        <v/>
      </c>
      <c r="C40" s="7" t="str">
        <f>IF(A40="","", IF(B40&gt;=Parametry!$B$9, "Dekumulacja", "Akumulacja"))</f>
        <v/>
      </c>
      <c r="D40" s="8" t="str">
        <f>IF(A40="","", D39*(1+Parametry!$B$6))</f>
        <v/>
      </c>
      <c r="E40" s="9" t="str">
        <f t="shared" si="6"/>
        <v/>
      </c>
      <c r="F40" s="9" t="str">
        <f>IF(A40="","", IF(C40="Akumulacja", Parametry!$B$5*12*D40, 0))</f>
        <v/>
      </c>
      <c r="G40" s="9" t="str">
        <f>IF(A40="","", IF(C40="Dekumulacja", Parametry!$B$4*12*D40, 0))</f>
        <v/>
      </c>
      <c r="H40" s="9" t="str">
        <f>IF(A40="","", IF(C40="Dekumulacja", Parametry!$B$3*12*D40, 0))</f>
        <v/>
      </c>
      <c r="I40" s="9" t="str">
        <f t="shared" si="4"/>
        <v/>
      </c>
      <c r="J40" s="9" t="str">
        <f>IF(A40="","", MAX(0, E40+F40-I40)*Parametry!$B$7)</f>
        <v/>
      </c>
      <c r="K40" s="9" t="str">
        <f t="shared" si="7"/>
        <v/>
      </c>
      <c r="L40" s="9" t="str">
        <f>IF(A40="","", IF(Parametry!$B$11&gt;0, I40 * (1 - MIN(1, K39 / MAX(1, E40+F40))) * Parametry!$B$11, 0))</f>
        <v/>
      </c>
      <c r="M40" s="9" t="str">
        <f t="shared" si="5"/>
        <v/>
      </c>
    </row>
    <row r="41" spans="1:13" x14ac:dyDescent="0.5">
      <c r="A41" s="6" t="str">
        <f>IF(Parametry!$B$8+40-1&lt;=Parametry!$B$10, 40, "")</f>
        <v/>
      </c>
      <c r="B41" s="6" t="str">
        <f>IF(A41="","", Parametry!$B$8+A41-1)</f>
        <v/>
      </c>
      <c r="C41" s="7" t="str">
        <f>IF(A41="","", IF(B41&gt;=Parametry!$B$9, "Dekumulacja", "Akumulacja"))</f>
        <v/>
      </c>
      <c r="D41" s="8" t="str">
        <f>IF(A41="","", D40*(1+Parametry!$B$6))</f>
        <v/>
      </c>
      <c r="E41" s="9" t="str">
        <f t="shared" si="6"/>
        <v/>
      </c>
      <c r="F41" s="9" t="str">
        <f>IF(A41="","", IF(C41="Akumulacja", Parametry!$B$5*12*D41, 0))</f>
        <v/>
      </c>
      <c r="G41" s="9" t="str">
        <f>IF(A41="","", IF(C41="Dekumulacja", Parametry!$B$4*12*D41, 0))</f>
        <v/>
      </c>
      <c r="H41" s="9" t="str">
        <f>IF(A41="","", IF(C41="Dekumulacja", Parametry!$B$3*12*D41, 0))</f>
        <v/>
      </c>
      <c r="I41" s="9" t="str">
        <f t="shared" si="4"/>
        <v/>
      </c>
      <c r="J41" s="9" t="str">
        <f>IF(A41="","", MAX(0, E41+F41-I41)*Parametry!$B$7)</f>
        <v/>
      </c>
      <c r="K41" s="9" t="str">
        <f t="shared" si="7"/>
        <v/>
      </c>
      <c r="L41" s="9" t="str">
        <f>IF(A41="","", IF(Parametry!$B$11&gt;0, I41 * (1 - MIN(1, K40 / MAX(1, E41+F41))) * Parametry!$B$11, 0))</f>
        <v/>
      </c>
      <c r="M41" s="9" t="str">
        <f t="shared" si="5"/>
        <v/>
      </c>
    </row>
    <row r="42" spans="1:13" x14ac:dyDescent="0.5">
      <c r="A42" s="6" t="str">
        <f>IF(Parametry!$B$8+41-1&lt;=Parametry!$B$10, 41, "")</f>
        <v/>
      </c>
      <c r="B42" s="6" t="str">
        <f>IF(A42="","", Parametry!$B$8+A42-1)</f>
        <v/>
      </c>
      <c r="C42" s="7" t="str">
        <f>IF(A42="","", IF(B42&gt;=Parametry!$B$9, "Dekumulacja", "Akumulacja"))</f>
        <v/>
      </c>
      <c r="D42" s="8" t="str">
        <f>IF(A42="","", D41*(1+Parametry!$B$6))</f>
        <v/>
      </c>
      <c r="E42" s="9" t="str">
        <f t="shared" si="6"/>
        <v/>
      </c>
      <c r="F42" s="9" t="str">
        <f>IF(A42="","", IF(C42="Akumulacja", Parametry!$B$5*12*D42, 0))</f>
        <v/>
      </c>
      <c r="G42" s="9" t="str">
        <f>IF(A42="","", IF(C42="Dekumulacja", Parametry!$B$4*12*D42, 0))</f>
        <v/>
      </c>
      <c r="H42" s="9" t="str">
        <f>IF(A42="","", IF(C42="Dekumulacja", Parametry!$B$3*12*D42, 0))</f>
        <v/>
      </c>
      <c r="I42" s="9" t="str">
        <f t="shared" si="4"/>
        <v/>
      </c>
      <c r="J42" s="9" t="str">
        <f>IF(A42="","", MAX(0, E42+F42-I42)*Parametry!$B$7)</f>
        <v/>
      </c>
      <c r="K42" s="9" t="str">
        <f t="shared" si="7"/>
        <v/>
      </c>
      <c r="L42" s="9" t="str">
        <f>IF(A42="","", IF(Parametry!$B$11&gt;0, I42 * (1 - MIN(1, K41 / MAX(1, E42+F42))) * Parametry!$B$11, 0))</f>
        <v/>
      </c>
      <c r="M42" s="9" t="str">
        <f t="shared" si="5"/>
        <v/>
      </c>
    </row>
    <row r="43" spans="1:13" x14ac:dyDescent="0.5">
      <c r="A43" s="6" t="str">
        <f>IF(Parametry!$B$8+42-1&lt;=Parametry!$B$10, 42, "")</f>
        <v/>
      </c>
      <c r="B43" s="6" t="str">
        <f>IF(A43="","", Parametry!$B$8+A43-1)</f>
        <v/>
      </c>
      <c r="C43" s="7" t="str">
        <f>IF(A43="","", IF(B43&gt;=Parametry!$B$9, "Dekumulacja", "Akumulacja"))</f>
        <v/>
      </c>
      <c r="D43" s="8" t="str">
        <f>IF(A43="","", D42*(1+Parametry!$B$6))</f>
        <v/>
      </c>
      <c r="E43" s="9" t="str">
        <f t="shared" si="6"/>
        <v/>
      </c>
      <c r="F43" s="9" t="str">
        <f>IF(A43="","", IF(C43="Akumulacja", Parametry!$B$5*12*D43, 0))</f>
        <v/>
      </c>
      <c r="G43" s="9" t="str">
        <f>IF(A43="","", IF(C43="Dekumulacja", Parametry!$B$4*12*D43, 0))</f>
        <v/>
      </c>
      <c r="H43" s="9" t="str">
        <f>IF(A43="","", IF(C43="Dekumulacja", Parametry!$B$3*12*D43, 0))</f>
        <v/>
      </c>
      <c r="I43" s="9" t="str">
        <f t="shared" si="4"/>
        <v/>
      </c>
      <c r="J43" s="9" t="str">
        <f>IF(A43="","", MAX(0, E43+F43-I43)*Parametry!$B$7)</f>
        <v/>
      </c>
      <c r="K43" s="9" t="str">
        <f t="shared" si="7"/>
        <v/>
      </c>
      <c r="L43" s="9" t="str">
        <f>IF(A43="","", IF(Parametry!$B$11&gt;0, I43 * (1 - MIN(1, K42 / MAX(1, E43+F43))) * Parametry!$B$11, 0))</f>
        <v/>
      </c>
      <c r="M43" s="9" t="str">
        <f t="shared" si="5"/>
        <v/>
      </c>
    </row>
    <row r="44" spans="1:13" x14ac:dyDescent="0.5">
      <c r="A44" s="6" t="str">
        <f>IF(Parametry!$B$8+43-1&lt;=Parametry!$B$10, 43, "")</f>
        <v/>
      </c>
      <c r="B44" s="6" t="str">
        <f>IF(A44="","", Parametry!$B$8+A44-1)</f>
        <v/>
      </c>
      <c r="C44" s="7" t="str">
        <f>IF(A44="","", IF(B44&gt;=Parametry!$B$9, "Dekumulacja", "Akumulacja"))</f>
        <v/>
      </c>
      <c r="D44" s="8" t="str">
        <f>IF(A44="","", D43*(1+Parametry!$B$6))</f>
        <v/>
      </c>
      <c r="E44" s="9" t="str">
        <f t="shared" si="6"/>
        <v/>
      </c>
      <c r="F44" s="9" t="str">
        <f>IF(A44="","", IF(C44="Akumulacja", Parametry!$B$5*12*D44, 0))</f>
        <v/>
      </c>
      <c r="G44" s="9" t="str">
        <f>IF(A44="","", IF(C44="Dekumulacja", Parametry!$B$4*12*D44, 0))</f>
        <v/>
      </c>
      <c r="H44" s="9" t="str">
        <f>IF(A44="","", IF(C44="Dekumulacja", Parametry!$B$3*12*D44, 0))</f>
        <v/>
      </c>
      <c r="I44" s="9" t="str">
        <f t="shared" si="4"/>
        <v/>
      </c>
      <c r="J44" s="9" t="str">
        <f>IF(A44="","", MAX(0, E44+F44-I44)*Parametry!$B$7)</f>
        <v/>
      </c>
      <c r="K44" s="9" t="str">
        <f t="shared" si="7"/>
        <v/>
      </c>
      <c r="L44" s="9" t="str">
        <f>IF(A44="","", IF(Parametry!$B$11&gt;0, I44 * (1 - MIN(1, K43 / MAX(1, E44+F44))) * Parametry!$B$11, 0))</f>
        <v/>
      </c>
      <c r="M44" s="9" t="str">
        <f t="shared" si="5"/>
        <v/>
      </c>
    </row>
    <row r="45" spans="1:13" x14ac:dyDescent="0.5">
      <c r="A45" s="6" t="str">
        <f>IF(Parametry!$B$8+44-1&lt;=Parametry!$B$10, 44, "")</f>
        <v/>
      </c>
      <c r="B45" s="6" t="str">
        <f>IF(A45="","", Parametry!$B$8+A45-1)</f>
        <v/>
      </c>
      <c r="C45" s="7" t="str">
        <f>IF(A45="","", IF(B45&gt;=Parametry!$B$9, "Dekumulacja", "Akumulacja"))</f>
        <v/>
      </c>
      <c r="D45" s="8" t="str">
        <f>IF(A45="","", D44*(1+Parametry!$B$6))</f>
        <v/>
      </c>
      <c r="E45" s="9" t="str">
        <f t="shared" si="6"/>
        <v/>
      </c>
      <c r="F45" s="9" t="str">
        <f>IF(A45="","", IF(C45="Akumulacja", Parametry!$B$5*12*D45, 0))</f>
        <v/>
      </c>
      <c r="G45" s="9" t="str">
        <f>IF(A45="","", IF(C45="Dekumulacja", Parametry!$B$4*12*D45, 0))</f>
        <v/>
      </c>
      <c r="H45" s="9" t="str">
        <f>IF(A45="","", IF(C45="Dekumulacja", Parametry!$B$3*12*D45, 0))</f>
        <v/>
      </c>
      <c r="I45" s="9" t="str">
        <f t="shared" si="4"/>
        <v/>
      </c>
      <c r="J45" s="9" t="str">
        <f>IF(A45="","", MAX(0, E45+F45-I45)*Parametry!$B$7)</f>
        <v/>
      </c>
      <c r="K45" s="9" t="str">
        <f t="shared" si="7"/>
        <v/>
      </c>
      <c r="L45" s="9" t="str">
        <f>IF(A45="","", IF(Parametry!$B$11&gt;0, I45 * (1 - MIN(1, K44 / MAX(1, E45+F45))) * Parametry!$B$11, 0))</f>
        <v/>
      </c>
      <c r="M45" s="9" t="str">
        <f t="shared" si="5"/>
        <v/>
      </c>
    </row>
    <row r="46" spans="1:13" x14ac:dyDescent="0.5">
      <c r="A46" s="6" t="str">
        <f>IF(Parametry!$B$8+45-1&lt;=Parametry!$B$10, 45, "")</f>
        <v/>
      </c>
      <c r="B46" s="6" t="str">
        <f>IF(A46="","", Parametry!$B$8+A46-1)</f>
        <v/>
      </c>
      <c r="C46" s="7" t="str">
        <f>IF(A46="","", IF(B46&gt;=Parametry!$B$9, "Dekumulacja", "Akumulacja"))</f>
        <v/>
      </c>
      <c r="D46" s="8" t="str">
        <f>IF(A46="","", D45*(1+Parametry!$B$6))</f>
        <v/>
      </c>
      <c r="E46" s="9" t="str">
        <f t="shared" si="6"/>
        <v/>
      </c>
      <c r="F46" s="9" t="str">
        <f>IF(A46="","", IF(C46="Akumulacja", Parametry!$B$5*12*D46, 0))</f>
        <v/>
      </c>
      <c r="G46" s="9" t="str">
        <f>IF(A46="","", IF(C46="Dekumulacja", Parametry!$B$4*12*D46, 0))</f>
        <v/>
      </c>
      <c r="H46" s="9" t="str">
        <f>IF(A46="","", IF(C46="Dekumulacja", Parametry!$B$3*12*D46, 0))</f>
        <v/>
      </c>
      <c r="I46" s="9" t="str">
        <f t="shared" si="4"/>
        <v/>
      </c>
      <c r="J46" s="9" t="str">
        <f>IF(A46="","", MAX(0, E46+F46-I46)*Parametry!$B$7)</f>
        <v/>
      </c>
      <c r="K46" s="9" t="str">
        <f t="shared" si="7"/>
        <v/>
      </c>
      <c r="L46" s="9" t="str">
        <f>IF(A46="","", IF(Parametry!$B$11&gt;0, I46 * (1 - MIN(1, K45 / MAX(1, E46+F46))) * Parametry!$B$11, 0))</f>
        <v/>
      </c>
      <c r="M46" s="9" t="str">
        <f t="shared" si="5"/>
        <v/>
      </c>
    </row>
    <row r="47" spans="1:13" x14ac:dyDescent="0.5">
      <c r="A47" s="6" t="str">
        <f>IF(Parametry!$B$8+46-1&lt;=Parametry!$B$10, 46, "")</f>
        <v/>
      </c>
      <c r="B47" s="6" t="str">
        <f>IF(A47="","", Parametry!$B$8+A47-1)</f>
        <v/>
      </c>
      <c r="C47" s="7" t="str">
        <f>IF(A47="","", IF(B47&gt;=Parametry!$B$9, "Dekumulacja", "Akumulacja"))</f>
        <v/>
      </c>
      <c r="D47" s="8" t="str">
        <f>IF(A47="","", D46*(1+Parametry!$B$6))</f>
        <v/>
      </c>
      <c r="E47" s="9" t="str">
        <f t="shared" si="6"/>
        <v/>
      </c>
      <c r="F47" s="9" t="str">
        <f>IF(A47="","", IF(C47="Akumulacja", Parametry!$B$5*12*D47, 0))</f>
        <v/>
      </c>
      <c r="G47" s="9" t="str">
        <f>IF(A47="","", IF(C47="Dekumulacja", Parametry!$B$4*12*D47, 0))</f>
        <v/>
      </c>
      <c r="H47" s="9" t="str">
        <f>IF(A47="","", IF(C47="Dekumulacja", Parametry!$B$3*12*D47, 0))</f>
        <v/>
      </c>
      <c r="I47" s="9" t="str">
        <f t="shared" si="4"/>
        <v/>
      </c>
      <c r="J47" s="9" t="str">
        <f>IF(A47="","", MAX(0, E47+F47-I47)*Parametry!$B$7)</f>
        <v/>
      </c>
      <c r="K47" s="9" t="str">
        <f t="shared" si="7"/>
        <v/>
      </c>
      <c r="L47" s="9" t="str">
        <f>IF(A47="","", IF(Parametry!$B$11&gt;0, I47 * (1 - MIN(1, K46 / MAX(1, E47+F47))) * Parametry!$B$11, 0))</f>
        <v/>
      </c>
      <c r="M47" s="9" t="str">
        <f t="shared" si="5"/>
        <v/>
      </c>
    </row>
    <row r="48" spans="1:13" x14ac:dyDescent="0.5">
      <c r="A48" s="6" t="str">
        <f>IF(Parametry!$B$8+47-1&lt;=Parametry!$B$10, 47, "")</f>
        <v/>
      </c>
      <c r="B48" s="6" t="str">
        <f>IF(A48="","", Parametry!$B$8+A48-1)</f>
        <v/>
      </c>
      <c r="C48" s="7" t="str">
        <f>IF(A48="","", IF(B48&gt;=Parametry!$B$9, "Dekumulacja", "Akumulacja"))</f>
        <v/>
      </c>
      <c r="D48" s="8" t="str">
        <f>IF(A48="","", D47*(1+Parametry!$B$6))</f>
        <v/>
      </c>
      <c r="E48" s="9" t="str">
        <f t="shared" si="6"/>
        <v/>
      </c>
      <c r="F48" s="9" t="str">
        <f>IF(A48="","", IF(C48="Akumulacja", Parametry!$B$5*12*D48, 0))</f>
        <v/>
      </c>
      <c r="G48" s="9" t="str">
        <f>IF(A48="","", IF(C48="Dekumulacja", Parametry!$B$4*12*D48, 0))</f>
        <v/>
      </c>
      <c r="H48" s="9" t="str">
        <f>IF(A48="","", IF(C48="Dekumulacja", Parametry!$B$3*12*D48, 0))</f>
        <v/>
      </c>
      <c r="I48" s="9" t="str">
        <f t="shared" si="4"/>
        <v/>
      </c>
      <c r="J48" s="9" t="str">
        <f>IF(A48="","", MAX(0, E48+F48-I48)*Parametry!$B$7)</f>
        <v/>
      </c>
      <c r="K48" s="9" t="str">
        <f t="shared" si="7"/>
        <v/>
      </c>
      <c r="L48" s="9" t="str">
        <f>IF(A48="","", IF(Parametry!$B$11&gt;0, I48 * (1 - MIN(1, K47 / MAX(1, E48+F48))) * Parametry!$B$11, 0))</f>
        <v/>
      </c>
      <c r="M48" s="9" t="str">
        <f t="shared" si="5"/>
        <v/>
      </c>
    </row>
    <row r="49" spans="1:13" x14ac:dyDescent="0.5">
      <c r="A49" s="6" t="str">
        <f>IF(Parametry!$B$8+48-1&lt;=Parametry!$B$10, 48, "")</f>
        <v/>
      </c>
      <c r="B49" s="6" t="str">
        <f>IF(A49="","", Parametry!$B$8+A49-1)</f>
        <v/>
      </c>
      <c r="C49" s="7" t="str">
        <f>IF(A49="","", IF(B49&gt;=Parametry!$B$9, "Dekumulacja", "Akumulacja"))</f>
        <v/>
      </c>
      <c r="D49" s="8" t="str">
        <f>IF(A49="","", D48*(1+Parametry!$B$6))</f>
        <v/>
      </c>
      <c r="E49" s="9" t="str">
        <f t="shared" si="6"/>
        <v/>
      </c>
      <c r="F49" s="9" t="str">
        <f>IF(A49="","", IF(C49="Akumulacja", Parametry!$B$5*12*D49, 0))</f>
        <v/>
      </c>
      <c r="G49" s="9" t="str">
        <f>IF(A49="","", IF(C49="Dekumulacja", Parametry!$B$4*12*D49, 0))</f>
        <v/>
      </c>
      <c r="H49" s="9" t="str">
        <f>IF(A49="","", IF(C49="Dekumulacja", Parametry!$B$3*12*D49, 0))</f>
        <v/>
      </c>
      <c r="I49" s="9" t="str">
        <f t="shared" si="4"/>
        <v/>
      </c>
      <c r="J49" s="9" t="str">
        <f>IF(A49="","", MAX(0, E49+F49-I49)*Parametry!$B$7)</f>
        <v/>
      </c>
      <c r="K49" s="9" t="str">
        <f t="shared" si="7"/>
        <v/>
      </c>
      <c r="L49" s="9" t="str">
        <f>IF(A49="","", IF(Parametry!$B$11&gt;0, I49 * (1 - MIN(1, K48 / MAX(1, E49+F49))) * Parametry!$B$11, 0))</f>
        <v/>
      </c>
      <c r="M49" s="9" t="str">
        <f t="shared" si="5"/>
        <v/>
      </c>
    </row>
    <row r="50" spans="1:13" x14ac:dyDescent="0.5">
      <c r="A50" s="6" t="str">
        <f>IF(Parametry!$B$8+49-1&lt;=Parametry!$B$10, 49, "")</f>
        <v/>
      </c>
      <c r="B50" s="6" t="str">
        <f>IF(A50="","", Parametry!$B$8+A50-1)</f>
        <v/>
      </c>
      <c r="C50" s="7" t="str">
        <f>IF(A50="","", IF(B50&gt;=Parametry!$B$9, "Dekumulacja", "Akumulacja"))</f>
        <v/>
      </c>
      <c r="D50" s="8" t="str">
        <f>IF(A50="","", D49*(1+Parametry!$B$6))</f>
        <v/>
      </c>
      <c r="E50" s="9" t="str">
        <f t="shared" si="6"/>
        <v/>
      </c>
      <c r="F50" s="9" t="str">
        <f>IF(A50="","", IF(C50="Akumulacja", Parametry!$B$5*12*D50, 0))</f>
        <v/>
      </c>
      <c r="G50" s="9" t="str">
        <f>IF(A50="","", IF(C50="Dekumulacja", Parametry!$B$4*12*D50, 0))</f>
        <v/>
      </c>
      <c r="H50" s="9" t="str">
        <f>IF(A50="","", IF(C50="Dekumulacja", Parametry!$B$3*12*D50, 0))</f>
        <v/>
      </c>
      <c r="I50" s="9" t="str">
        <f t="shared" si="4"/>
        <v/>
      </c>
      <c r="J50" s="9" t="str">
        <f>IF(A50="","", MAX(0, E50+F50-I50)*Parametry!$B$7)</f>
        <v/>
      </c>
      <c r="K50" s="9" t="str">
        <f t="shared" si="7"/>
        <v/>
      </c>
      <c r="L50" s="9" t="str">
        <f>IF(A50="","", IF(Parametry!$B$11&gt;0, I50 * (1 - MIN(1, K49 / MAX(1, E50+F50))) * Parametry!$B$11, 0))</f>
        <v/>
      </c>
      <c r="M50" s="9" t="str">
        <f t="shared" si="5"/>
        <v/>
      </c>
    </row>
    <row r="51" spans="1:13" x14ac:dyDescent="0.5">
      <c r="A51" s="6" t="str">
        <f>IF(Parametry!$B$8+50-1&lt;=Parametry!$B$10, 50, "")</f>
        <v/>
      </c>
      <c r="B51" s="6" t="str">
        <f>IF(A51="","", Parametry!$B$8+A51-1)</f>
        <v/>
      </c>
      <c r="C51" s="7" t="str">
        <f>IF(A51="","", IF(B51&gt;=Parametry!$B$9, "Dekumulacja", "Akumulacja"))</f>
        <v/>
      </c>
      <c r="D51" s="8" t="str">
        <f>IF(A51="","", D50*(1+Parametry!$B$6))</f>
        <v/>
      </c>
      <c r="E51" s="9" t="str">
        <f t="shared" si="6"/>
        <v/>
      </c>
      <c r="F51" s="9" t="str">
        <f>IF(A51="","", IF(C51="Akumulacja", Parametry!$B$5*12*D51, 0))</f>
        <v/>
      </c>
      <c r="G51" s="9" t="str">
        <f>IF(A51="","", IF(C51="Dekumulacja", Parametry!$B$4*12*D51, 0))</f>
        <v/>
      </c>
      <c r="H51" s="9" t="str">
        <f>IF(A51="","", IF(C51="Dekumulacja", Parametry!$B$3*12*D51, 0))</f>
        <v/>
      </c>
      <c r="I51" s="9" t="str">
        <f t="shared" si="4"/>
        <v/>
      </c>
      <c r="J51" s="9" t="str">
        <f>IF(A51="","", MAX(0, E51+F51-I51)*Parametry!$B$7)</f>
        <v/>
      </c>
      <c r="K51" s="9" t="str">
        <f t="shared" si="7"/>
        <v/>
      </c>
      <c r="L51" s="9" t="str">
        <f>IF(A51="","", IF(Parametry!$B$11&gt;0, I51 * (1 - MIN(1, K50 / MAX(1, E51+F51))) * Parametry!$B$11, 0))</f>
        <v/>
      </c>
      <c r="M51" s="9" t="str">
        <f t="shared" si="5"/>
        <v/>
      </c>
    </row>
    <row r="52" spans="1:13" x14ac:dyDescent="0.5">
      <c r="A52" s="6" t="str">
        <f>IF(Parametry!$B$8+51-1&lt;=Parametry!$B$10, 51, "")</f>
        <v/>
      </c>
      <c r="B52" s="6" t="str">
        <f>IF(A52="","", Parametry!$B$8+A52-1)</f>
        <v/>
      </c>
      <c r="C52" s="7" t="str">
        <f>IF(A52="","", IF(B52&gt;=Parametry!$B$9, "Dekumulacja", "Akumulacja"))</f>
        <v/>
      </c>
      <c r="D52" s="8" t="str">
        <f>IF(A52="","", D51*(1+Parametry!$B$6))</f>
        <v/>
      </c>
      <c r="E52" s="9" t="str">
        <f t="shared" si="6"/>
        <v/>
      </c>
      <c r="F52" s="9" t="str">
        <f>IF(A52="","", IF(C52="Akumulacja", Parametry!$B$5*12*D52, 0))</f>
        <v/>
      </c>
      <c r="G52" s="9" t="str">
        <f>IF(A52="","", IF(C52="Dekumulacja", Parametry!$B$4*12*D52, 0))</f>
        <v/>
      </c>
      <c r="H52" s="9" t="str">
        <f>IF(A52="","", IF(C52="Dekumulacja", Parametry!$B$3*12*D52, 0))</f>
        <v/>
      </c>
      <c r="I52" s="9" t="str">
        <f t="shared" si="4"/>
        <v/>
      </c>
      <c r="J52" s="9" t="str">
        <f>IF(A52="","", MAX(0, E52+F52-I52)*Parametry!$B$7)</f>
        <v/>
      </c>
      <c r="K52" s="9" t="str">
        <f t="shared" si="7"/>
        <v/>
      </c>
      <c r="L52" s="9" t="str">
        <f>IF(A52="","", IF(Parametry!$B$11&gt;0, I52 * (1 - MIN(1, K51 / MAX(1, E52+F52))) * Parametry!$B$11, 0))</f>
        <v/>
      </c>
      <c r="M52" s="9" t="str">
        <f t="shared" si="5"/>
        <v/>
      </c>
    </row>
    <row r="53" spans="1:13" x14ac:dyDescent="0.5">
      <c r="A53" s="6" t="str">
        <f>IF(Parametry!$B$8+52-1&lt;=Parametry!$B$10, 52, "")</f>
        <v/>
      </c>
      <c r="B53" s="6" t="str">
        <f>IF(A53="","", Parametry!$B$8+A53-1)</f>
        <v/>
      </c>
      <c r="C53" s="7" t="str">
        <f>IF(A53="","", IF(B53&gt;=Parametry!$B$9, "Dekumulacja", "Akumulacja"))</f>
        <v/>
      </c>
      <c r="D53" s="8" t="str">
        <f>IF(A53="","", D52*(1+Parametry!$B$6))</f>
        <v/>
      </c>
      <c r="E53" s="9" t="str">
        <f t="shared" si="6"/>
        <v/>
      </c>
      <c r="F53" s="9" t="str">
        <f>IF(A53="","", IF(C53="Akumulacja", Parametry!$B$5*12*D53, 0))</f>
        <v/>
      </c>
      <c r="G53" s="9" t="str">
        <f>IF(A53="","", IF(C53="Dekumulacja", Parametry!$B$4*12*D53, 0))</f>
        <v/>
      </c>
      <c r="H53" s="9" t="str">
        <f>IF(A53="","", IF(C53="Dekumulacja", Parametry!$B$3*12*D53, 0))</f>
        <v/>
      </c>
      <c r="I53" s="9" t="str">
        <f t="shared" si="4"/>
        <v/>
      </c>
      <c r="J53" s="9" t="str">
        <f>IF(A53="","", MAX(0, E53+F53-I53)*Parametry!$B$7)</f>
        <v/>
      </c>
      <c r="K53" s="9" t="str">
        <f t="shared" si="7"/>
        <v/>
      </c>
      <c r="L53" s="9" t="str">
        <f>IF(A53="","", IF(Parametry!$B$11&gt;0, I53 * (1 - MIN(1, K52 / MAX(1, E53+F53))) * Parametry!$B$11, 0))</f>
        <v/>
      </c>
      <c r="M53" s="9" t="str">
        <f t="shared" si="5"/>
        <v/>
      </c>
    </row>
    <row r="54" spans="1:13" x14ac:dyDescent="0.5">
      <c r="A54" s="6" t="str">
        <f>IF(Parametry!$B$8+53-1&lt;=Parametry!$B$10, 53, "")</f>
        <v/>
      </c>
      <c r="B54" s="6" t="str">
        <f>IF(A54="","", Parametry!$B$8+A54-1)</f>
        <v/>
      </c>
      <c r="C54" s="7" t="str">
        <f>IF(A54="","", IF(B54&gt;=Parametry!$B$9, "Dekumulacja", "Akumulacja"))</f>
        <v/>
      </c>
      <c r="D54" s="8" t="str">
        <f>IF(A54="","", D53*(1+Parametry!$B$6))</f>
        <v/>
      </c>
      <c r="E54" s="9" t="str">
        <f t="shared" si="6"/>
        <v/>
      </c>
      <c r="F54" s="9" t="str">
        <f>IF(A54="","", IF(C54="Akumulacja", Parametry!$B$5*12*D54, 0))</f>
        <v/>
      </c>
      <c r="G54" s="9" t="str">
        <f>IF(A54="","", IF(C54="Dekumulacja", Parametry!$B$4*12*D54, 0))</f>
        <v/>
      </c>
      <c r="H54" s="9" t="str">
        <f>IF(A54="","", IF(C54="Dekumulacja", Parametry!$B$3*12*D54, 0))</f>
        <v/>
      </c>
      <c r="I54" s="9" t="str">
        <f t="shared" si="4"/>
        <v/>
      </c>
      <c r="J54" s="9" t="str">
        <f>IF(A54="","", MAX(0, E54+F54-I54)*Parametry!$B$7)</f>
        <v/>
      </c>
      <c r="K54" s="9" t="str">
        <f t="shared" si="7"/>
        <v/>
      </c>
      <c r="L54" s="9" t="str">
        <f>IF(A54="","", IF(Parametry!$B$11&gt;0, I54 * (1 - MIN(1, K53 / MAX(1, E54+F54))) * Parametry!$B$11, 0))</f>
        <v/>
      </c>
      <c r="M54" s="9" t="str">
        <f t="shared" si="5"/>
        <v/>
      </c>
    </row>
    <row r="55" spans="1:13" x14ac:dyDescent="0.5">
      <c r="A55" s="6" t="str">
        <f>IF(Parametry!$B$8+54-1&lt;=Parametry!$B$10, 54, "")</f>
        <v/>
      </c>
      <c r="B55" s="6" t="str">
        <f>IF(A55="","", Parametry!$B$8+A55-1)</f>
        <v/>
      </c>
      <c r="C55" s="7" t="str">
        <f>IF(A55="","", IF(B55&gt;=Parametry!$B$9, "Dekumulacja", "Akumulacja"))</f>
        <v/>
      </c>
      <c r="D55" s="8" t="str">
        <f>IF(A55="","", D54*(1+Parametry!$B$6))</f>
        <v/>
      </c>
      <c r="E55" s="9" t="str">
        <f t="shared" si="6"/>
        <v/>
      </c>
      <c r="F55" s="9" t="str">
        <f>IF(A55="","", IF(C55="Akumulacja", Parametry!$B$5*12*D55, 0))</f>
        <v/>
      </c>
      <c r="G55" s="9" t="str">
        <f>IF(A55="","", IF(C55="Dekumulacja", Parametry!$B$4*12*D55, 0))</f>
        <v/>
      </c>
      <c r="H55" s="9" t="str">
        <f>IF(A55="","", IF(C55="Dekumulacja", Parametry!$B$3*12*D55, 0))</f>
        <v/>
      </c>
      <c r="I55" s="9" t="str">
        <f t="shared" si="4"/>
        <v/>
      </c>
      <c r="J55" s="9" t="str">
        <f>IF(A55="","", MAX(0, E55+F55-I55)*Parametry!$B$7)</f>
        <v/>
      </c>
      <c r="K55" s="9" t="str">
        <f t="shared" si="7"/>
        <v/>
      </c>
      <c r="L55" s="9" t="str">
        <f>IF(A55="","", IF(Parametry!$B$11&gt;0, I55 * (1 - MIN(1, K54 / MAX(1, E55+F55))) * Parametry!$B$11, 0))</f>
        <v/>
      </c>
      <c r="M55" s="9" t="str">
        <f t="shared" si="5"/>
        <v/>
      </c>
    </row>
    <row r="56" spans="1:13" x14ac:dyDescent="0.5">
      <c r="A56" s="6" t="str">
        <f>IF(Parametry!$B$8+55-1&lt;=Parametry!$B$10, 55, "")</f>
        <v/>
      </c>
      <c r="B56" s="6" t="str">
        <f>IF(A56="","", Parametry!$B$8+A56-1)</f>
        <v/>
      </c>
      <c r="C56" s="7" t="str">
        <f>IF(A56="","", IF(B56&gt;=Parametry!$B$9, "Dekumulacja", "Akumulacja"))</f>
        <v/>
      </c>
      <c r="D56" s="8" t="str">
        <f>IF(A56="","", D55*(1+Parametry!$B$6))</f>
        <v/>
      </c>
      <c r="E56" s="9" t="str">
        <f t="shared" si="6"/>
        <v/>
      </c>
      <c r="F56" s="9" t="str">
        <f>IF(A56="","", IF(C56="Akumulacja", Parametry!$B$5*12*D56, 0))</f>
        <v/>
      </c>
      <c r="G56" s="9" t="str">
        <f>IF(A56="","", IF(C56="Dekumulacja", Parametry!$B$4*12*D56, 0))</f>
        <v/>
      </c>
      <c r="H56" s="9" t="str">
        <f>IF(A56="","", IF(C56="Dekumulacja", Parametry!$B$3*12*D56, 0))</f>
        <v/>
      </c>
      <c r="I56" s="9" t="str">
        <f t="shared" si="4"/>
        <v/>
      </c>
      <c r="J56" s="9" t="str">
        <f>IF(A56="","", MAX(0, E56+F56-I56)*Parametry!$B$7)</f>
        <v/>
      </c>
      <c r="K56" s="9" t="str">
        <f t="shared" si="7"/>
        <v/>
      </c>
      <c r="L56" s="9" t="str">
        <f>IF(A56="","", IF(Parametry!$B$11&gt;0, I56 * (1 - MIN(1, K55 / MAX(1, E56+F56))) * Parametry!$B$11, 0))</f>
        <v/>
      </c>
      <c r="M56" s="9" t="str">
        <f t="shared" si="5"/>
        <v/>
      </c>
    </row>
    <row r="57" spans="1:13" x14ac:dyDescent="0.5">
      <c r="A57" s="6" t="str">
        <f>IF(Parametry!$B$8+56-1&lt;=Parametry!$B$10, 56, "")</f>
        <v/>
      </c>
      <c r="B57" s="6" t="str">
        <f>IF(A57="","", Parametry!$B$8+A57-1)</f>
        <v/>
      </c>
      <c r="C57" s="7" t="str">
        <f>IF(A57="","", IF(B57&gt;=Parametry!$B$9, "Dekumulacja", "Akumulacja"))</f>
        <v/>
      </c>
      <c r="D57" s="8" t="str">
        <f>IF(A57="","", D56*(1+Parametry!$B$6))</f>
        <v/>
      </c>
      <c r="E57" s="9" t="str">
        <f t="shared" si="6"/>
        <v/>
      </c>
      <c r="F57" s="9" t="str">
        <f>IF(A57="","", IF(C57="Akumulacja", Parametry!$B$5*12*D57, 0))</f>
        <v/>
      </c>
      <c r="G57" s="9" t="str">
        <f>IF(A57="","", IF(C57="Dekumulacja", Parametry!$B$4*12*D57, 0))</f>
        <v/>
      </c>
      <c r="H57" s="9" t="str">
        <f>IF(A57="","", IF(C57="Dekumulacja", Parametry!$B$3*12*D57, 0))</f>
        <v/>
      </c>
      <c r="I57" s="9" t="str">
        <f t="shared" si="4"/>
        <v/>
      </c>
      <c r="J57" s="9" t="str">
        <f>IF(A57="","", MAX(0, E57+F57-I57)*Parametry!$B$7)</f>
        <v/>
      </c>
      <c r="K57" s="9" t="str">
        <f t="shared" si="7"/>
        <v/>
      </c>
      <c r="L57" s="9" t="str">
        <f>IF(A57="","", IF(Parametry!$B$11&gt;0, I57 * (1 - MIN(1, K56 / MAX(1, E57+F57))) * Parametry!$B$11, 0))</f>
        <v/>
      </c>
      <c r="M57" s="9" t="str">
        <f t="shared" si="5"/>
        <v/>
      </c>
    </row>
    <row r="58" spans="1:13" x14ac:dyDescent="0.5">
      <c r="A58" s="6" t="str">
        <f>IF(Parametry!$B$8+57-1&lt;=Parametry!$B$10, 57, "")</f>
        <v/>
      </c>
      <c r="B58" s="6" t="str">
        <f>IF(A58="","", Parametry!$B$8+A58-1)</f>
        <v/>
      </c>
      <c r="C58" s="7" t="str">
        <f>IF(A58="","", IF(B58&gt;=Parametry!$B$9, "Dekumulacja", "Akumulacja"))</f>
        <v/>
      </c>
      <c r="D58" s="8" t="str">
        <f>IF(A58="","", D57*(1+Parametry!$B$6))</f>
        <v/>
      </c>
      <c r="E58" s="9" t="str">
        <f t="shared" si="6"/>
        <v/>
      </c>
      <c r="F58" s="9" t="str">
        <f>IF(A58="","", IF(C58="Akumulacja", Parametry!$B$5*12*D58, 0))</f>
        <v/>
      </c>
      <c r="G58" s="9" t="str">
        <f>IF(A58="","", IF(C58="Dekumulacja", Parametry!$B$4*12*D58, 0))</f>
        <v/>
      </c>
      <c r="H58" s="9" t="str">
        <f>IF(A58="","", IF(C58="Dekumulacja", Parametry!$B$3*12*D58, 0))</f>
        <v/>
      </c>
      <c r="I58" s="9" t="str">
        <f t="shared" si="4"/>
        <v/>
      </c>
      <c r="J58" s="9" t="str">
        <f>IF(A58="","", MAX(0, E58+F58-I58)*Parametry!$B$7)</f>
        <v/>
      </c>
      <c r="K58" s="9" t="str">
        <f t="shared" si="7"/>
        <v/>
      </c>
      <c r="L58" s="9" t="str">
        <f>IF(A58="","", IF(Parametry!$B$11&gt;0, I58 * (1 - MIN(1, K57 / MAX(1, E58+F58))) * Parametry!$B$11, 0))</f>
        <v/>
      </c>
      <c r="M58" s="9" t="str">
        <f t="shared" si="5"/>
        <v/>
      </c>
    </row>
    <row r="59" spans="1:13" x14ac:dyDescent="0.5">
      <c r="A59" s="6" t="str">
        <f>IF(Parametry!$B$8+58-1&lt;=Parametry!$B$10, 58, "")</f>
        <v/>
      </c>
      <c r="B59" s="6" t="str">
        <f>IF(A59="","", Parametry!$B$8+A59-1)</f>
        <v/>
      </c>
      <c r="C59" s="7" t="str">
        <f>IF(A59="","", IF(B59&gt;=Parametry!$B$9, "Dekumulacja", "Akumulacja"))</f>
        <v/>
      </c>
      <c r="D59" s="8" t="str">
        <f>IF(A59="","", D58*(1+Parametry!$B$6))</f>
        <v/>
      </c>
      <c r="E59" s="9" t="str">
        <f t="shared" si="6"/>
        <v/>
      </c>
      <c r="F59" s="9" t="str">
        <f>IF(A59="","", IF(C59="Akumulacja", Parametry!$B$5*12*D59, 0))</f>
        <v/>
      </c>
      <c r="G59" s="9" t="str">
        <f>IF(A59="","", IF(C59="Dekumulacja", Parametry!$B$4*12*D59, 0))</f>
        <v/>
      </c>
      <c r="H59" s="9" t="str">
        <f>IF(A59="","", IF(C59="Dekumulacja", Parametry!$B$3*12*D59, 0))</f>
        <v/>
      </c>
      <c r="I59" s="9" t="str">
        <f t="shared" si="4"/>
        <v/>
      </c>
      <c r="J59" s="9" t="str">
        <f>IF(A59="","", MAX(0, E59+F59-I59)*Parametry!$B$7)</f>
        <v/>
      </c>
      <c r="K59" s="9" t="str">
        <f t="shared" si="7"/>
        <v/>
      </c>
      <c r="L59" s="9" t="str">
        <f>IF(A59="","", IF(Parametry!$B$11&gt;0, I59 * (1 - MIN(1, K58 / MAX(1, E59+F59))) * Parametry!$B$11, 0))</f>
        <v/>
      </c>
      <c r="M59" s="9" t="str">
        <f t="shared" si="5"/>
        <v/>
      </c>
    </row>
    <row r="60" spans="1:13" x14ac:dyDescent="0.5">
      <c r="A60" s="6" t="str">
        <f>IF(Parametry!$B$8+59-1&lt;=Parametry!$B$10, 59, "")</f>
        <v/>
      </c>
      <c r="B60" s="6" t="str">
        <f>IF(A60="","", Parametry!$B$8+A60-1)</f>
        <v/>
      </c>
      <c r="C60" s="7" t="str">
        <f>IF(A60="","", IF(B60&gt;=Parametry!$B$9, "Dekumulacja", "Akumulacja"))</f>
        <v/>
      </c>
      <c r="D60" s="8" t="str">
        <f>IF(A60="","", D59*(1+Parametry!$B$6))</f>
        <v/>
      </c>
      <c r="E60" s="9" t="str">
        <f t="shared" si="6"/>
        <v/>
      </c>
      <c r="F60" s="9" t="str">
        <f>IF(A60="","", IF(C60="Akumulacja", Parametry!$B$5*12*D60, 0))</f>
        <v/>
      </c>
      <c r="G60" s="9" t="str">
        <f>IF(A60="","", IF(C60="Dekumulacja", Parametry!$B$4*12*D60, 0))</f>
        <v/>
      </c>
      <c r="H60" s="9" t="str">
        <f>IF(A60="","", IF(C60="Dekumulacja", Parametry!$B$3*12*D60, 0))</f>
        <v/>
      </c>
      <c r="I60" s="9" t="str">
        <f t="shared" si="4"/>
        <v/>
      </c>
      <c r="J60" s="9" t="str">
        <f>IF(A60="","", MAX(0, E60+F60-I60)*Parametry!$B$7)</f>
        <v/>
      </c>
      <c r="K60" s="9" t="str">
        <f t="shared" si="7"/>
        <v/>
      </c>
      <c r="L60" s="9" t="str">
        <f>IF(A60="","", IF(Parametry!$B$11&gt;0, I60 * (1 - MIN(1, K59 / MAX(1, E60+F60))) * Parametry!$B$11, 0))</f>
        <v/>
      </c>
      <c r="M60" s="9" t="str">
        <f t="shared" si="5"/>
        <v/>
      </c>
    </row>
    <row r="61" spans="1:13" x14ac:dyDescent="0.5">
      <c r="A61" s="6" t="str">
        <f>IF(Parametry!$B$8+60-1&lt;=Parametry!$B$10, 60, "")</f>
        <v/>
      </c>
      <c r="B61" s="6" t="str">
        <f>IF(A61="","", Parametry!$B$8+A61-1)</f>
        <v/>
      </c>
      <c r="C61" s="7" t="str">
        <f>IF(A61="","", IF(B61&gt;=Parametry!$B$9, "Dekumulacja", "Akumulacja"))</f>
        <v/>
      </c>
      <c r="D61" s="8" t="str">
        <f>IF(A61="","", D60*(1+Parametry!$B$6))</f>
        <v/>
      </c>
      <c r="E61" s="9" t="str">
        <f t="shared" si="6"/>
        <v/>
      </c>
      <c r="F61" s="9" t="str">
        <f>IF(A61="","", IF(C61="Akumulacja", Parametry!$B$5*12*D61, 0))</f>
        <v/>
      </c>
      <c r="G61" s="9" t="str">
        <f>IF(A61="","", IF(C61="Dekumulacja", Parametry!$B$4*12*D61, 0))</f>
        <v/>
      </c>
      <c r="H61" s="9" t="str">
        <f>IF(A61="","", IF(C61="Dekumulacja", Parametry!$B$3*12*D61, 0))</f>
        <v/>
      </c>
      <c r="I61" s="9" t="str">
        <f t="shared" si="4"/>
        <v/>
      </c>
      <c r="J61" s="9" t="str">
        <f>IF(A61="","", MAX(0, E61+F61-I61)*Parametry!$B$7)</f>
        <v/>
      </c>
      <c r="K61" s="9" t="str">
        <f t="shared" si="7"/>
        <v/>
      </c>
      <c r="L61" s="9" t="str">
        <f>IF(A61="","", IF(Parametry!$B$11&gt;0, I61 * (1 - MIN(1, K60 / MAX(1, E61+F61))) * Parametry!$B$11, 0))</f>
        <v/>
      </c>
      <c r="M61" s="9" t="str">
        <f t="shared" si="5"/>
        <v/>
      </c>
    </row>
    <row r="62" spans="1:13" x14ac:dyDescent="0.5">
      <c r="A62" s="6" t="str">
        <f>IF(Parametry!$B$8+61-1&lt;=Parametry!$B$10, 61, "")</f>
        <v/>
      </c>
      <c r="B62" s="6" t="str">
        <f>IF(A62="","", Parametry!$B$8+A62-1)</f>
        <v/>
      </c>
      <c r="C62" s="7" t="str">
        <f>IF(A62="","", IF(B62&gt;=Parametry!$B$9, "Dekumulacja", "Akumulacja"))</f>
        <v/>
      </c>
      <c r="D62" s="8" t="str">
        <f>IF(A62="","", D61*(1+Parametry!$B$6))</f>
        <v/>
      </c>
      <c r="E62" s="9" t="str">
        <f t="shared" si="6"/>
        <v/>
      </c>
      <c r="F62" s="9" t="str">
        <f>IF(A62="","", IF(C62="Akumulacja", Parametry!$B$5*12*D62, 0))</f>
        <v/>
      </c>
      <c r="G62" s="9" t="str">
        <f>IF(A62="","", IF(C62="Dekumulacja", Parametry!$B$4*12*D62, 0))</f>
        <v/>
      </c>
      <c r="H62" s="9" t="str">
        <f>IF(A62="","", IF(C62="Dekumulacja", Parametry!$B$3*12*D62, 0))</f>
        <v/>
      </c>
      <c r="I62" s="9" t="str">
        <f t="shared" si="4"/>
        <v/>
      </c>
      <c r="J62" s="9" t="str">
        <f>IF(A62="","", MAX(0, E62+F62-I62)*Parametry!$B$7)</f>
        <v/>
      </c>
      <c r="K62" s="9" t="str">
        <f t="shared" si="7"/>
        <v/>
      </c>
      <c r="L62" s="9" t="str">
        <f>IF(A62="","", IF(Parametry!$B$11&gt;0, I62 * (1 - MIN(1, K61 / MAX(1, E62+F62))) * Parametry!$B$11, 0))</f>
        <v/>
      </c>
      <c r="M62" s="9" t="str">
        <f t="shared" si="5"/>
        <v/>
      </c>
    </row>
    <row r="63" spans="1:13" x14ac:dyDescent="0.5">
      <c r="A63" s="6" t="str">
        <f>IF(Parametry!$B$8+62-1&lt;=Parametry!$B$10, 62, "")</f>
        <v/>
      </c>
      <c r="B63" s="6" t="str">
        <f>IF(A63="","", Parametry!$B$8+A63-1)</f>
        <v/>
      </c>
      <c r="C63" s="7" t="str">
        <f>IF(A63="","", IF(B63&gt;=Parametry!$B$9, "Dekumulacja", "Akumulacja"))</f>
        <v/>
      </c>
      <c r="D63" s="8" t="str">
        <f>IF(A63="","", D62*(1+Parametry!$B$6))</f>
        <v/>
      </c>
      <c r="E63" s="9" t="str">
        <f t="shared" si="6"/>
        <v/>
      </c>
      <c r="F63" s="9" t="str">
        <f>IF(A63="","", IF(C63="Akumulacja", Parametry!$B$5*12*D63, 0))</f>
        <v/>
      </c>
      <c r="G63" s="9" t="str">
        <f>IF(A63="","", IF(C63="Dekumulacja", Parametry!$B$4*12*D63, 0))</f>
        <v/>
      </c>
      <c r="H63" s="9" t="str">
        <f>IF(A63="","", IF(C63="Dekumulacja", Parametry!$B$3*12*D63, 0))</f>
        <v/>
      </c>
      <c r="I63" s="9" t="str">
        <f t="shared" si="4"/>
        <v/>
      </c>
      <c r="J63" s="9" t="str">
        <f>IF(A63="","", MAX(0, E63+F63-I63)*Parametry!$B$7)</f>
        <v/>
      </c>
      <c r="K63" s="9" t="str">
        <f t="shared" si="7"/>
        <v/>
      </c>
      <c r="L63" s="9" t="str">
        <f>IF(A63="","", IF(Parametry!$B$11&gt;0, I63 * (1 - MIN(1, K62 / MAX(1, E63+F63))) * Parametry!$B$11, 0))</f>
        <v/>
      </c>
      <c r="M63" s="9" t="str">
        <f t="shared" si="5"/>
        <v/>
      </c>
    </row>
    <row r="64" spans="1:13" x14ac:dyDescent="0.5">
      <c r="A64" s="6" t="str">
        <f>IF(Parametry!$B$8+63-1&lt;=Parametry!$B$10, 63, "")</f>
        <v/>
      </c>
      <c r="B64" s="6" t="str">
        <f>IF(A64="","", Parametry!$B$8+A64-1)</f>
        <v/>
      </c>
      <c r="C64" s="7" t="str">
        <f>IF(A64="","", IF(B64&gt;=Parametry!$B$9, "Dekumulacja", "Akumulacja"))</f>
        <v/>
      </c>
      <c r="D64" s="8" t="str">
        <f>IF(A64="","", D63*(1+Parametry!$B$6))</f>
        <v/>
      </c>
      <c r="E64" s="9" t="str">
        <f t="shared" si="6"/>
        <v/>
      </c>
      <c r="F64" s="9" t="str">
        <f>IF(A64="","", IF(C64="Akumulacja", Parametry!$B$5*12*D64, 0))</f>
        <v/>
      </c>
      <c r="G64" s="9" t="str">
        <f>IF(A64="","", IF(C64="Dekumulacja", Parametry!$B$4*12*D64, 0))</f>
        <v/>
      </c>
      <c r="H64" s="9" t="str">
        <f>IF(A64="","", IF(C64="Dekumulacja", Parametry!$B$3*12*D64, 0))</f>
        <v/>
      </c>
      <c r="I64" s="9" t="str">
        <f t="shared" si="4"/>
        <v/>
      </c>
      <c r="J64" s="9" t="str">
        <f>IF(A64="","", MAX(0, E64+F64-I64)*Parametry!$B$7)</f>
        <v/>
      </c>
      <c r="K64" s="9" t="str">
        <f t="shared" si="7"/>
        <v/>
      </c>
      <c r="L64" s="9" t="str">
        <f>IF(A64="","", IF(Parametry!$B$11&gt;0, I64 * (1 - MIN(1, K63 / MAX(1, E64+F64))) * Parametry!$B$11, 0))</f>
        <v/>
      </c>
      <c r="M64" s="9" t="str">
        <f t="shared" si="5"/>
        <v/>
      </c>
    </row>
    <row r="65" spans="1:13" x14ac:dyDescent="0.5">
      <c r="A65" s="6" t="str">
        <f>IF(Parametry!$B$8+64-1&lt;=Parametry!$B$10, 64, "")</f>
        <v/>
      </c>
      <c r="B65" s="6" t="str">
        <f>IF(A65="","", Parametry!$B$8+A65-1)</f>
        <v/>
      </c>
      <c r="C65" s="7" t="str">
        <f>IF(A65="","", IF(B65&gt;=Parametry!$B$9, "Dekumulacja", "Akumulacja"))</f>
        <v/>
      </c>
      <c r="D65" s="8" t="str">
        <f>IF(A65="","", D64*(1+Parametry!$B$6))</f>
        <v/>
      </c>
      <c r="E65" s="9" t="str">
        <f t="shared" si="6"/>
        <v/>
      </c>
      <c r="F65" s="9" t="str">
        <f>IF(A65="","", IF(C65="Akumulacja", Parametry!$B$5*12*D65, 0))</f>
        <v/>
      </c>
      <c r="G65" s="9" t="str">
        <f>IF(A65="","", IF(C65="Dekumulacja", Parametry!$B$4*12*D65, 0))</f>
        <v/>
      </c>
      <c r="H65" s="9" t="str">
        <f>IF(A65="","", IF(C65="Dekumulacja", Parametry!$B$3*12*D65, 0))</f>
        <v/>
      </c>
      <c r="I65" s="9" t="str">
        <f t="shared" si="4"/>
        <v/>
      </c>
      <c r="J65" s="9" t="str">
        <f>IF(A65="","", MAX(0, E65+F65-I65)*Parametry!$B$7)</f>
        <v/>
      </c>
      <c r="K65" s="9" t="str">
        <f t="shared" si="7"/>
        <v/>
      </c>
      <c r="L65" s="9" t="str">
        <f>IF(A65="","", IF(Parametry!$B$11&gt;0, I65 * (1 - MIN(1, K64 / MAX(1, E65+F65))) * Parametry!$B$11, 0))</f>
        <v/>
      </c>
      <c r="M65" s="9" t="str">
        <f t="shared" si="5"/>
        <v/>
      </c>
    </row>
    <row r="66" spans="1:13" x14ac:dyDescent="0.5">
      <c r="A66" s="6" t="str">
        <f>IF(Parametry!$B$8+65-1&lt;=Parametry!$B$10, 65, "")</f>
        <v/>
      </c>
      <c r="B66" s="6" t="str">
        <f>IF(A66="","", Parametry!$B$8+A66-1)</f>
        <v/>
      </c>
      <c r="C66" s="7" t="str">
        <f>IF(A66="","", IF(B66&gt;=Parametry!$B$9, "Dekumulacja", "Akumulacja"))</f>
        <v/>
      </c>
      <c r="D66" s="8" t="str">
        <f>IF(A66="","", D65*(1+Parametry!$B$6))</f>
        <v/>
      </c>
      <c r="E66" s="9" t="str">
        <f t="shared" si="6"/>
        <v/>
      </c>
      <c r="F66" s="9" t="str">
        <f>IF(A66="","", IF(C66="Akumulacja", Parametry!$B$5*12*D66, 0))</f>
        <v/>
      </c>
      <c r="G66" s="9" t="str">
        <f>IF(A66="","", IF(C66="Dekumulacja", Parametry!$B$4*12*D66, 0))</f>
        <v/>
      </c>
      <c r="H66" s="9" t="str">
        <f>IF(A66="","", IF(C66="Dekumulacja", Parametry!$B$3*12*D66, 0))</f>
        <v/>
      </c>
      <c r="I66" s="9" t="str">
        <f t="shared" ref="I66:I97" si="8">IF(A66="","", MAX(0, H66-G66))</f>
        <v/>
      </c>
      <c r="J66" s="9" t="str">
        <f>IF(A66="","", MAX(0, E66+F66-I66)*Parametry!$B$7)</f>
        <v/>
      </c>
      <c r="K66" s="9" t="str">
        <f t="shared" si="7"/>
        <v/>
      </c>
      <c r="L66" s="9" t="str">
        <f>IF(A66="","", IF(Parametry!$B$11&gt;0, I66 * (1 - MIN(1, K65 / MAX(1, E66+F66))) * Parametry!$B$11, 0))</f>
        <v/>
      </c>
      <c r="M66" s="9" t="str">
        <f t="shared" ref="M66:M97" si="9">IF(A66="","", MAX(0, E66+F66-I66+J66-L66))</f>
        <v/>
      </c>
    </row>
    <row r="67" spans="1:13" x14ac:dyDescent="0.5">
      <c r="A67" s="6" t="str">
        <f>IF(Parametry!$B$8+66-1&lt;=Parametry!$B$10, 66, "")</f>
        <v/>
      </c>
      <c r="B67" s="6" t="str">
        <f>IF(A67="","", Parametry!$B$8+A67-1)</f>
        <v/>
      </c>
      <c r="C67" s="7" t="str">
        <f>IF(A67="","", IF(B67&gt;=Parametry!$B$9, "Dekumulacja", "Akumulacja"))</f>
        <v/>
      </c>
      <c r="D67" s="8" t="str">
        <f>IF(A67="","", D66*(1+Parametry!$B$6))</f>
        <v/>
      </c>
      <c r="E67" s="9" t="str">
        <f t="shared" ref="E67:E101" si="10">IF(A67="","", M66)</f>
        <v/>
      </c>
      <c r="F67" s="9" t="str">
        <f>IF(A67="","", IF(C67="Akumulacja", Parametry!$B$5*12*D67, 0))</f>
        <v/>
      </c>
      <c r="G67" s="9" t="str">
        <f>IF(A67="","", IF(C67="Dekumulacja", Parametry!$B$4*12*D67, 0))</f>
        <v/>
      </c>
      <c r="H67" s="9" t="str">
        <f>IF(A67="","", IF(C67="Dekumulacja", Parametry!$B$3*12*D67, 0))</f>
        <v/>
      </c>
      <c r="I67" s="9" t="str">
        <f t="shared" si="8"/>
        <v/>
      </c>
      <c r="J67" s="9" t="str">
        <f>IF(A67="","", MAX(0, E67+F67-I67)*Parametry!$B$7)</f>
        <v/>
      </c>
      <c r="K67" s="9" t="str">
        <f t="shared" ref="K67:K101" si="11">IF(A67="","", MAX(0, K66 + F67 - I67 * MIN(1, K66 / MAX(1, E67+F67))))</f>
        <v/>
      </c>
      <c r="L67" s="9" t="str">
        <f>IF(A67="","", IF(Parametry!$B$11&gt;0, I67 * (1 - MIN(1, K66 / MAX(1, E67+F67))) * Parametry!$B$11, 0))</f>
        <v/>
      </c>
      <c r="M67" s="9" t="str">
        <f t="shared" si="9"/>
        <v/>
      </c>
    </row>
    <row r="68" spans="1:13" x14ac:dyDescent="0.5">
      <c r="A68" s="6" t="str">
        <f>IF(Parametry!$B$8+67-1&lt;=Parametry!$B$10, 67, "")</f>
        <v/>
      </c>
      <c r="B68" s="6" t="str">
        <f>IF(A68="","", Parametry!$B$8+A68-1)</f>
        <v/>
      </c>
      <c r="C68" s="7" t="str">
        <f>IF(A68="","", IF(B68&gt;=Parametry!$B$9, "Dekumulacja", "Akumulacja"))</f>
        <v/>
      </c>
      <c r="D68" s="8" t="str">
        <f>IF(A68="","", D67*(1+Parametry!$B$6))</f>
        <v/>
      </c>
      <c r="E68" s="9" t="str">
        <f t="shared" si="10"/>
        <v/>
      </c>
      <c r="F68" s="9" t="str">
        <f>IF(A68="","", IF(C68="Akumulacja", Parametry!$B$5*12*D68, 0))</f>
        <v/>
      </c>
      <c r="G68" s="9" t="str">
        <f>IF(A68="","", IF(C68="Dekumulacja", Parametry!$B$4*12*D68, 0))</f>
        <v/>
      </c>
      <c r="H68" s="9" t="str">
        <f>IF(A68="","", IF(C68="Dekumulacja", Parametry!$B$3*12*D68, 0))</f>
        <v/>
      </c>
      <c r="I68" s="9" t="str">
        <f t="shared" si="8"/>
        <v/>
      </c>
      <c r="J68" s="9" t="str">
        <f>IF(A68="","", MAX(0, E68+F68-I68)*Parametry!$B$7)</f>
        <v/>
      </c>
      <c r="K68" s="9" t="str">
        <f t="shared" si="11"/>
        <v/>
      </c>
      <c r="L68" s="9" t="str">
        <f>IF(A68="","", IF(Parametry!$B$11&gt;0, I68 * (1 - MIN(1, K67 / MAX(1, E68+F68))) * Parametry!$B$11, 0))</f>
        <v/>
      </c>
      <c r="M68" s="9" t="str">
        <f t="shared" si="9"/>
        <v/>
      </c>
    </row>
    <row r="69" spans="1:13" x14ac:dyDescent="0.5">
      <c r="A69" s="6" t="str">
        <f>IF(Parametry!$B$8+68-1&lt;=Parametry!$B$10, 68, "")</f>
        <v/>
      </c>
      <c r="B69" s="6" t="str">
        <f>IF(A69="","", Parametry!$B$8+A69-1)</f>
        <v/>
      </c>
      <c r="C69" s="7" t="str">
        <f>IF(A69="","", IF(B69&gt;=Parametry!$B$9, "Dekumulacja", "Akumulacja"))</f>
        <v/>
      </c>
      <c r="D69" s="8" t="str">
        <f>IF(A69="","", D68*(1+Parametry!$B$6))</f>
        <v/>
      </c>
      <c r="E69" s="9" t="str">
        <f t="shared" si="10"/>
        <v/>
      </c>
      <c r="F69" s="9" t="str">
        <f>IF(A69="","", IF(C69="Akumulacja", Parametry!$B$5*12*D69, 0))</f>
        <v/>
      </c>
      <c r="G69" s="9" t="str">
        <f>IF(A69="","", IF(C69="Dekumulacja", Parametry!$B$4*12*D69, 0))</f>
        <v/>
      </c>
      <c r="H69" s="9" t="str">
        <f>IF(A69="","", IF(C69="Dekumulacja", Parametry!$B$3*12*D69, 0))</f>
        <v/>
      </c>
      <c r="I69" s="9" t="str">
        <f t="shared" si="8"/>
        <v/>
      </c>
      <c r="J69" s="9" t="str">
        <f>IF(A69="","", MAX(0, E69+F69-I69)*Parametry!$B$7)</f>
        <v/>
      </c>
      <c r="K69" s="9" t="str">
        <f t="shared" si="11"/>
        <v/>
      </c>
      <c r="L69" s="9" t="str">
        <f>IF(A69="","", IF(Parametry!$B$11&gt;0, I69 * (1 - MIN(1, K68 / MAX(1, E69+F69))) * Parametry!$B$11, 0))</f>
        <v/>
      </c>
      <c r="M69" s="9" t="str">
        <f t="shared" si="9"/>
        <v/>
      </c>
    </row>
    <row r="70" spans="1:13" x14ac:dyDescent="0.5">
      <c r="A70" s="6" t="str">
        <f>IF(Parametry!$B$8+69-1&lt;=Parametry!$B$10, 69, "")</f>
        <v/>
      </c>
      <c r="B70" s="6" t="str">
        <f>IF(A70="","", Parametry!$B$8+A70-1)</f>
        <v/>
      </c>
      <c r="C70" s="7" t="str">
        <f>IF(A70="","", IF(B70&gt;=Parametry!$B$9, "Dekumulacja", "Akumulacja"))</f>
        <v/>
      </c>
      <c r="D70" s="8" t="str">
        <f>IF(A70="","", D69*(1+Parametry!$B$6))</f>
        <v/>
      </c>
      <c r="E70" s="9" t="str">
        <f t="shared" si="10"/>
        <v/>
      </c>
      <c r="F70" s="9" t="str">
        <f>IF(A70="","", IF(C70="Akumulacja", Parametry!$B$5*12*D70, 0))</f>
        <v/>
      </c>
      <c r="G70" s="9" t="str">
        <f>IF(A70="","", IF(C70="Dekumulacja", Parametry!$B$4*12*D70, 0))</f>
        <v/>
      </c>
      <c r="H70" s="9" t="str">
        <f>IF(A70="","", IF(C70="Dekumulacja", Parametry!$B$3*12*D70, 0))</f>
        <v/>
      </c>
      <c r="I70" s="9" t="str">
        <f t="shared" si="8"/>
        <v/>
      </c>
      <c r="J70" s="9" t="str">
        <f>IF(A70="","", MAX(0, E70+F70-I70)*Parametry!$B$7)</f>
        <v/>
      </c>
      <c r="K70" s="9" t="str">
        <f t="shared" si="11"/>
        <v/>
      </c>
      <c r="L70" s="9" t="str">
        <f>IF(A70="","", IF(Parametry!$B$11&gt;0, I70 * (1 - MIN(1, K69 / MAX(1, E70+F70))) * Parametry!$B$11, 0))</f>
        <v/>
      </c>
      <c r="M70" s="9" t="str">
        <f t="shared" si="9"/>
        <v/>
      </c>
    </row>
    <row r="71" spans="1:13" x14ac:dyDescent="0.5">
      <c r="A71" s="6" t="str">
        <f>IF(Parametry!$B$8+70-1&lt;=Parametry!$B$10, 70, "")</f>
        <v/>
      </c>
      <c r="B71" s="6" t="str">
        <f>IF(A71="","", Parametry!$B$8+A71-1)</f>
        <v/>
      </c>
      <c r="C71" s="7" t="str">
        <f>IF(A71="","", IF(B71&gt;=Parametry!$B$9, "Dekumulacja", "Akumulacja"))</f>
        <v/>
      </c>
      <c r="D71" s="8" t="str">
        <f>IF(A71="","", D70*(1+Parametry!$B$6))</f>
        <v/>
      </c>
      <c r="E71" s="9" t="str">
        <f t="shared" si="10"/>
        <v/>
      </c>
      <c r="F71" s="9" t="str">
        <f>IF(A71="","", IF(C71="Akumulacja", Parametry!$B$5*12*D71, 0))</f>
        <v/>
      </c>
      <c r="G71" s="9" t="str">
        <f>IF(A71="","", IF(C71="Dekumulacja", Parametry!$B$4*12*D71, 0))</f>
        <v/>
      </c>
      <c r="H71" s="9" t="str">
        <f>IF(A71="","", IF(C71="Dekumulacja", Parametry!$B$3*12*D71, 0))</f>
        <v/>
      </c>
      <c r="I71" s="9" t="str">
        <f t="shared" si="8"/>
        <v/>
      </c>
      <c r="J71" s="9" t="str">
        <f>IF(A71="","", MAX(0, E71+F71-I71)*Parametry!$B$7)</f>
        <v/>
      </c>
      <c r="K71" s="9" t="str">
        <f t="shared" si="11"/>
        <v/>
      </c>
      <c r="L71" s="9" t="str">
        <f>IF(A71="","", IF(Parametry!$B$11&gt;0, I71 * (1 - MIN(1, K70 / MAX(1, E71+F71))) * Parametry!$B$11, 0))</f>
        <v/>
      </c>
      <c r="M71" s="9" t="str">
        <f t="shared" si="9"/>
        <v/>
      </c>
    </row>
    <row r="72" spans="1:13" x14ac:dyDescent="0.5">
      <c r="A72" s="6" t="str">
        <f>IF(Parametry!$B$8+71-1&lt;=Parametry!$B$10, 71, "")</f>
        <v/>
      </c>
      <c r="B72" s="6" t="str">
        <f>IF(A72="","", Parametry!$B$8+A72-1)</f>
        <v/>
      </c>
      <c r="C72" s="7" t="str">
        <f>IF(A72="","", IF(B72&gt;=Parametry!$B$9, "Dekumulacja", "Akumulacja"))</f>
        <v/>
      </c>
      <c r="D72" s="8" t="str">
        <f>IF(A72="","", D71*(1+Parametry!$B$6))</f>
        <v/>
      </c>
      <c r="E72" s="9" t="str">
        <f t="shared" si="10"/>
        <v/>
      </c>
      <c r="F72" s="9" t="str">
        <f>IF(A72="","", IF(C72="Akumulacja", Parametry!$B$5*12*D72, 0))</f>
        <v/>
      </c>
      <c r="G72" s="9" t="str">
        <f>IF(A72="","", IF(C72="Dekumulacja", Parametry!$B$4*12*D72, 0))</f>
        <v/>
      </c>
      <c r="H72" s="9" t="str">
        <f>IF(A72="","", IF(C72="Dekumulacja", Parametry!$B$3*12*D72, 0))</f>
        <v/>
      </c>
      <c r="I72" s="9" t="str">
        <f t="shared" si="8"/>
        <v/>
      </c>
      <c r="J72" s="9" t="str">
        <f>IF(A72="","", MAX(0, E72+F72-I72)*Parametry!$B$7)</f>
        <v/>
      </c>
      <c r="K72" s="9" t="str">
        <f t="shared" si="11"/>
        <v/>
      </c>
      <c r="L72" s="9" t="str">
        <f>IF(A72="","", IF(Parametry!$B$11&gt;0, I72 * (1 - MIN(1, K71 / MAX(1, E72+F72))) * Parametry!$B$11, 0))</f>
        <v/>
      </c>
      <c r="M72" s="9" t="str">
        <f t="shared" si="9"/>
        <v/>
      </c>
    </row>
    <row r="73" spans="1:13" x14ac:dyDescent="0.5">
      <c r="A73" s="6" t="str">
        <f>IF(Parametry!$B$8+72-1&lt;=Parametry!$B$10, 72, "")</f>
        <v/>
      </c>
      <c r="B73" s="6" t="str">
        <f>IF(A73="","", Parametry!$B$8+A73-1)</f>
        <v/>
      </c>
      <c r="C73" s="7" t="str">
        <f>IF(A73="","", IF(B73&gt;=Parametry!$B$9, "Dekumulacja", "Akumulacja"))</f>
        <v/>
      </c>
      <c r="D73" s="8" t="str">
        <f>IF(A73="","", D72*(1+Parametry!$B$6))</f>
        <v/>
      </c>
      <c r="E73" s="9" t="str">
        <f t="shared" si="10"/>
        <v/>
      </c>
      <c r="F73" s="9" t="str">
        <f>IF(A73="","", IF(C73="Akumulacja", Parametry!$B$5*12*D73, 0))</f>
        <v/>
      </c>
      <c r="G73" s="9" t="str">
        <f>IF(A73="","", IF(C73="Dekumulacja", Parametry!$B$4*12*D73, 0))</f>
        <v/>
      </c>
      <c r="H73" s="9" t="str">
        <f>IF(A73="","", IF(C73="Dekumulacja", Parametry!$B$3*12*D73, 0))</f>
        <v/>
      </c>
      <c r="I73" s="9" t="str">
        <f t="shared" si="8"/>
        <v/>
      </c>
      <c r="J73" s="9" t="str">
        <f>IF(A73="","", MAX(0, E73+F73-I73)*Parametry!$B$7)</f>
        <v/>
      </c>
      <c r="K73" s="9" t="str">
        <f t="shared" si="11"/>
        <v/>
      </c>
      <c r="L73" s="9" t="str">
        <f>IF(A73="","", IF(Parametry!$B$11&gt;0, I73 * (1 - MIN(1, K72 / MAX(1, E73+F73))) * Parametry!$B$11, 0))</f>
        <v/>
      </c>
      <c r="M73" s="9" t="str">
        <f t="shared" si="9"/>
        <v/>
      </c>
    </row>
    <row r="74" spans="1:13" x14ac:dyDescent="0.5">
      <c r="A74" s="6" t="str">
        <f>IF(Parametry!$B$8+73-1&lt;=Parametry!$B$10, 73, "")</f>
        <v/>
      </c>
      <c r="B74" s="6" t="str">
        <f>IF(A74="","", Parametry!$B$8+A74-1)</f>
        <v/>
      </c>
      <c r="C74" s="7" t="str">
        <f>IF(A74="","", IF(B74&gt;=Parametry!$B$9, "Dekumulacja", "Akumulacja"))</f>
        <v/>
      </c>
      <c r="D74" s="8" t="str">
        <f>IF(A74="","", D73*(1+Parametry!$B$6))</f>
        <v/>
      </c>
      <c r="E74" s="9" t="str">
        <f t="shared" si="10"/>
        <v/>
      </c>
      <c r="F74" s="9" t="str">
        <f>IF(A74="","", IF(C74="Akumulacja", Parametry!$B$5*12*D74, 0))</f>
        <v/>
      </c>
      <c r="G74" s="9" t="str">
        <f>IF(A74="","", IF(C74="Dekumulacja", Parametry!$B$4*12*D74, 0))</f>
        <v/>
      </c>
      <c r="H74" s="9" t="str">
        <f>IF(A74="","", IF(C74="Dekumulacja", Parametry!$B$3*12*D74, 0))</f>
        <v/>
      </c>
      <c r="I74" s="9" t="str">
        <f t="shared" si="8"/>
        <v/>
      </c>
      <c r="J74" s="9" t="str">
        <f>IF(A74="","", MAX(0, E74+F74-I74)*Parametry!$B$7)</f>
        <v/>
      </c>
      <c r="K74" s="9" t="str">
        <f t="shared" si="11"/>
        <v/>
      </c>
      <c r="L74" s="9" t="str">
        <f>IF(A74="","", IF(Parametry!$B$11&gt;0, I74 * (1 - MIN(1, K73 / MAX(1, E74+F74))) * Parametry!$B$11, 0))</f>
        <v/>
      </c>
      <c r="M74" s="9" t="str">
        <f t="shared" si="9"/>
        <v/>
      </c>
    </row>
    <row r="75" spans="1:13" x14ac:dyDescent="0.5">
      <c r="A75" s="6" t="str">
        <f>IF(Parametry!$B$8+74-1&lt;=Parametry!$B$10, 74, "")</f>
        <v/>
      </c>
      <c r="B75" s="6" t="str">
        <f>IF(A75="","", Parametry!$B$8+A75-1)</f>
        <v/>
      </c>
      <c r="C75" s="7" t="str">
        <f>IF(A75="","", IF(B75&gt;=Parametry!$B$9, "Dekumulacja", "Akumulacja"))</f>
        <v/>
      </c>
      <c r="D75" s="8" t="str">
        <f>IF(A75="","", D74*(1+Parametry!$B$6))</f>
        <v/>
      </c>
      <c r="E75" s="9" t="str">
        <f t="shared" si="10"/>
        <v/>
      </c>
      <c r="F75" s="9" t="str">
        <f>IF(A75="","", IF(C75="Akumulacja", Parametry!$B$5*12*D75, 0))</f>
        <v/>
      </c>
      <c r="G75" s="9" t="str">
        <f>IF(A75="","", IF(C75="Dekumulacja", Parametry!$B$4*12*D75, 0))</f>
        <v/>
      </c>
      <c r="H75" s="9" t="str">
        <f>IF(A75="","", IF(C75="Dekumulacja", Parametry!$B$3*12*D75, 0))</f>
        <v/>
      </c>
      <c r="I75" s="9" t="str">
        <f t="shared" si="8"/>
        <v/>
      </c>
      <c r="J75" s="9" t="str">
        <f>IF(A75="","", MAX(0, E75+F75-I75)*Parametry!$B$7)</f>
        <v/>
      </c>
      <c r="K75" s="9" t="str">
        <f t="shared" si="11"/>
        <v/>
      </c>
      <c r="L75" s="9" t="str">
        <f>IF(A75="","", IF(Parametry!$B$11&gt;0, I75 * (1 - MIN(1, K74 / MAX(1, E75+F75))) * Parametry!$B$11, 0))</f>
        <v/>
      </c>
      <c r="M75" s="9" t="str">
        <f t="shared" si="9"/>
        <v/>
      </c>
    </row>
    <row r="76" spans="1:13" x14ac:dyDescent="0.5">
      <c r="A76" s="6" t="str">
        <f>IF(Parametry!$B$8+75-1&lt;=Parametry!$B$10, 75, "")</f>
        <v/>
      </c>
      <c r="B76" s="6" t="str">
        <f>IF(A76="","", Parametry!$B$8+A76-1)</f>
        <v/>
      </c>
      <c r="C76" s="7" t="str">
        <f>IF(A76="","", IF(B76&gt;=Parametry!$B$9, "Dekumulacja", "Akumulacja"))</f>
        <v/>
      </c>
      <c r="D76" s="8" t="str">
        <f>IF(A76="","", D75*(1+Parametry!$B$6))</f>
        <v/>
      </c>
      <c r="E76" s="9" t="str">
        <f t="shared" si="10"/>
        <v/>
      </c>
      <c r="F76" s="9" t="str">
        <f>IF(A76="","", IF(C76="Akumulacja", Parametry!$B$5*12*D76, 0))</f>
        <v/>
      </c>
      <c r="G76" s="9" t="str">
        <f>IF(A76="","", IF(C76="Dekumulacja", Parametry!$B$4*12*D76, 0))</f>
        <v/>
      </c>
      <c r="H76" s="9" t="str">
        <f>IF(A76="","", IF(C76="Dekumulacja", Parametry!$B$3*12*D76, 0))</f>
        <v/>
      </c>
      <c r="I76" s="9" t="str">
        <f t="shared" si="8"/>
        <v/>
      </c>
      <c r="J76" s="9" t="str">
        <f>IF(A76="","", MAX(0, E76+F76-I76)*Parametry!$B$7)</f>
        <v/>
      </c>
      <c r="K76" s="9" t="str">
        <f t="shared" si="11"/>
        <v/>
      </c>
      <c r="L76" s="9" t="str">
        <f>IF(A76="","", IF(Parametry!$B$11&gt;0, I76 * (1 - MIN(1, K75 / MAX(1, E76+F76))) * Parametry!$B$11, 0))</f>
        <v/>
      </c>
      <c r="M76" s="9" t="str">
        <f t="shared" si="9"/>
        <v/>
      </c>
    </row>
    <row r="77" spans="1:13" x14ac:dyDescent="0.5">
      <c r="A77" s="6" t="str">
        <f>IF(Parametry!$B$8+76-1&lt;=Parametry!$B$10, 76, "")</f>
        <v/>
      </c>
      <c r="B77" s="6" t="str">
        <f>IF(A77="","", Parametry!$B$8+A77-1)</f>
        <v/>
      </c>
      <c r="C77" s="7" t="str">
        <f>IF(A77="","", IF(B77&gt;=Parametry!$B$9, "Dekumulacja", "Akumulacja"))</f>
        <v/>
      </c>
      <c r="D77" s="8" t="str">
        <f>IF(A77="","", D76*(1+Parametry!$B$6))</f>
        <v/>
      </c>
      <c r="E77" s="9" t="str">
        <f t="shared" si="10"/>
        <v/>
      </c>
      <c r="F77" s="9" t="str">
        <f>IF(A77="","", IF(C77="Akumulacja", Parametry!$B$5*12*D77, 0))</f>
        <v/>
      </c>
      <c r="G77" s="9" t="str">
        <f>IF(A77="","", IF(C77="Dekumulacja", Parametry!$B$4*12*D77, 0))</f>
        <v/>
      </c>
      <c r="H77" s="9" t="str">
        <f>IF(A77="","", IF(C77="Dekumulacja", Parametry!$B$3*12*D77, 0))</f>
        <v/>
      </c>
      <c r="I77" s="9" t="str">
        <f t="shared" si="8"/>
        <v/>
      </c>
      <c r="J77" s="9" t="str">
        <f>IF(A77="","", MAX(0, E77+F77-I77)*Parametry!$B$7)</f>
        <v/>
      </c>
      <c r="K77" s="9" t="str">
        <f t="shared" si="11"/>
        <v/>
      </c>
      <c r="L77" s="9" t="str">
        <f>IF(A77="","", IF(Parametry!$B$11&gt;0, I77 * (1 - MIN(1, K76 / MAX(1, E77+F77))) * Parametry!$B$11, 0))</f>
        <v/>
      </c>
      <c r="M77" s="9" t="str">
        <f t="shared" si="9"/>
        <v/>
      </c>
    </row>
    <row r="78" spans="1:13" x14ac:dyDescent="0.5">
      <c r="A78" s="6" t="str">
        <f>IF(Parametry!$B$8+77-1&lt;=Parametry!$B$10, 77, "")</f>
        <v/>
      </c>
      <c r="B78" s="6" t="str">
        <f>IF(A78="","", Parametry!$B$8+A78-1)</f>
        <v/>
      </c>
      <c r="C78" s="7" t="str">
        <f>IF(A78="","", IF(B78&gt;=Parametry!$B$9, "Dekumulacja", "Akumulacja"))</f>
        <v/>
      </c>
      <c r="D78" s="8" t="str">
        <f>IF(A78="","", D77*(1+Parametry!$B$6))</f>
        <v/>
      </c>
      <c r="E78" s="9" t="str">
        <f t="shared" si="10"/>
        <v/>
      </c>
      <c r="F78" s="9" t="str">
        <f>IF(A78="","", IF(C78="Akumulacja", Parametry!$B$5*12*D78, 0))</f>
        <v/>
      </c>
      <c r="G78" s="9" t="str">
        <f>IF(A78="","", IF(C78="Dekumulacja", Parametry!$B$4*12*D78, 0))</f>
        <v/>
      </c>
      <c r="H78" s="9" t="str">
        <f>IF(A78="","", IF(C78="Dekumulacja", Parametry!$B$3*12*D78, 0))</f>
        <v/>
      </c>
      <c r="I78" s="9" t="str">
        <f t="shared" si="8"/>
        <v/>
      </c>
      <c r="J78" s="9" t="str">
        <f>IF(A78="","", MAX(0, E78+F78-I78)*Parametry!$B$7)</f>
        <v/>
      </c>
      <c r="K78" s="9" t="str">
        <f t="shared" si="11"/>
        <v/>
      </c>
      <c r="L78" s="9" t="str">
        <f>IF(A78="","", IF(Parametry!$B$11&gt;0, I78 * (1 - MIN(1, K77 / MAX(1, E78+F78))) * Parametry!$B$11, 0))</f>
        <v/>
      </c>
      <c r="M78" s="9" t="str">
        <f t="shared" si="9"/>
        <v/>
      </c>
    </row>
    <row r="79" spans="1:13" x14ac:dyDescent="0.5">
      <c r="A79" s="6" t="str">
        <f>IF(Parametry!$B$8+78-1&lt;=Parametry!$B$10, 78, "")</f>
        <v/>
      </c>
      <c r="B79" s="6" t="str">
        <f>IF(A79="","", Parametry!$B$8+A79-1)</f>
        <v/>
      </c>
      <c r="C79" s="7" t="str">
        <f>IF(A79="","", IF(B79&gt;=Parametry!$B$9, "Dekumulacja", "Akumulacja"))</f>
        <v/>
      </c>
      <c r="D79" s="8" t="str">
        <f>IF(A79="","", D78*(1+Parametry!$B$6))</f>
        <v/>
      </c>
      <c r="E79" s="9" t="str">
        <f t="shared" si="10"/>
        <v/>
      </c>
      <c r="F79" s="9" t="str">
        <f>IF(A79="","", IF(C79="Akumulacja", Parametry!$B$5*12*D79, 0))</f>
        <v/>
      </c>
      <c r="G79" s="9" t="str">
        <f>IF(A79="","", IF(C79="Dekumulacja", Parametry!$B$4*12*D79, 0))</f>
        <v/>
      </c>
      <c r="H79" s="9" t="str">
        <f>IF(A79="","", IF(C79="Dekumulacja", Parametry!$B$3*12*D79, 0))</f>
        <v/>
      </c>
      <c r="I79" s="9" t="str">
        <f t="shared" si="8"/>
        <v/>
      </c>
      <c r="J79" s="9" t="str">
        <f>IF(A79="","", MAX(0, E79+F79-I79)*Parametry!$B$7)</f>
        <v/>
      </c>
      <c r="K79" s="9" t="str">
        <f t="shared" si="11"/>
        <v/>
      </c>
      <c r="L79" s="9" t="str">
        <f>IF(A79="","", IF(Parametry!$B$11&gt;0, I79 * (1 - MIN(1, K78 / MAX(1, E79+F79))) * Parametry!$B$11, 0))</f>
        <v/>
      </c>
      <c r="M79" s="9" t="str">
        <f t="shared" si="9"/>
        <v/>
      </c>
    </row>
    <row r="80" spans="1:13" x14ac:dyDescent="0.5">
      <c r="A80" s="6" t="str">
        <f>IF(Parametry!$B$8+79-1&lt;=Parametry!$B$10, 79, "")</f>
        <v/>
      </c>
      <c r="B80" s="6" t="str">
        <f>IF(A80="","", Parametry!$B$8+A80-1)</f>
        <v/>
      </c>
      <c r="C80" s="7" t="str">
        <f>IF(A80="","", IF(B80&gt;=Parametry!$B$9, "Dekumulacja", "Akumulacja"))</f>
        <v/>
      </c>
      <c r="D80" s="8" t="str">
        <f>IF(A80="","", D79*(1+Parametry!$B$6))</f>
        <v/>
      </c>
      <c r="E80" s="9" t="str">
        <f t="shared" si="10"/>
        <v/>
      </c>
      <c r="F80" s="9" t="str">
        <f>IF(A80="","", IF(C80="Akumulacja", Parametry!$B$5*12*D80, 0))</f>
        <v/>
      </c>
      <c r="G80" s="9" t="str">
        <f>IF(A80="","", IF(C80="Dekumulacja", Parametry!$B$4*12*D80, 0))</f>
        <v/>
      </c>
      <c r="H80" s="9" t="str">
        <f>IF(A80="","", IF(C80="Dekumulacja", Parametry!$B$3*12*D80, 0))</f>
        <v/>
      </c>
      <c r="I80" s="9" t="str">
        <f t="shared" si="8"/>
        <v/>
      </c>
      <c r="J80" s="9" t="str">
        <f>IF(A80="","", MAX(0, E80+F80-I80)*Parametry!$B$7)</f>
        <v/>
      </c>
      <c r="K80" s="9" t="str">
        <f t="shared" si="11"/>
        <v/>
      </c>
      <c r="L80" s="9" t="str">
        <f>IF(A80="","", IF(Parametry!$B$11&gt;0, I80 * (1 - MIN(1, K79 / MAX(1, E80+F80))) * Parametry!$B$11, 0))</f>
        <v/>
      </c>
      <c r="M80" s="9" t="str">
        <f t="shared" si="9"/>
        <v/>
      </c>
    </row>
    <row r="81" spans="1:13" x14ac:dyDescent="0.5">
      <c r="A81" s="6" t="str">
        <f>IF(Parametry!$B$8+80-1&lt;=Parametry!$B$10, 80, "")</f>
        <v/>
      </c>
      <c r="B81" s="6" t="str">
        <f>IF(A81="","", Parametry!$B$8+A81-1)</f>
        <v/>
      </c>
      <c r="C81" s="7" t="str">
        <f>IF(A81="","", IF(B81&gt;=Parametry!$B$9, "Dekumulacja", "Akumulacja"))</f>
        <v/>
      </c>
      <c r="D81" s="8" t="str">
        <f>IF(A81="","", D80*(1+Parametry!$B$6))</f>
        <v/>
      </c>
      <c r="E81" s="9" t="str">
        <f t="shared" si="10"/>
        <v/>
      </c>
      <c r="F81" s="9" t="str">
        <f>IF(A81="","", IF(C81="Akumulacja", Parametry!$B$5*12*D81, 0))</f>
        <v/>
      </c>
      <c r="G81" s="9" t="str">
        <f>IF(A81="","", IF(C81="Dekumulacja", Parametry!$B$4*12*D81, 0))</f>
        <v/>
      </c>
      <c r="H81" s="9" t="str">
        <f>IF(A81="","", IF(C81="Dekumulacja", Parametry!$B$3*12*D81, 0))</f>
        <v/>
      </c>
      <c r="I81" s="9" t="str">
        <f t="shared" si="8"/>
        <v/>
      </c>
      <c r="J81" s="9" t="str">
        <f>IF(A81="","", MAX(0, E81+F81-I81)*Parametry!$B$7)</f>
        <v/>
      </c>
      <c r="K81" s="9" t="str">
        <f t="shared" si="11"/>
        <v/>
      </c>
      <c r="L81" s="9" t="str">
        <f>IF(A81="","", IF(Parametry!$B$11&gt;0, I81 * (1 - MIN(1, K80 / MAX(1, E81+F81))) * Parametry!$B$11, 0))</f>
        <v/>
      </c>
      <c r="M81" s="9" t="str">
        <f t="shared" si="9"/>
        <v/>
      </c>
    </row>
    <row r="82" spans="1:13" x14ac:dyDescent="0.5">
      <c r="A82" s="6" t="str">
        <f>IF(Parametry!$B$8+81-1&lt;=Parametry!$B$10, 81, "")</f>
        <v/>
      </c>
      <c r="B82" s="6" t="str">
        <f>IF(A82="","", Parametry!$B$8+A82-1)</f>
        <v/>
      </c>
      <c r="C82" s="7" t="str">
        <f>IF(A82="","", IF(B82&gt;=Parametry!$B$9, "Dekumulacja", "Akumulacja"))</f>
        <v/>
      </c>
      <c r="D82" s="8" t="str">
        <f>IF(A82="","", D81*(1+Parametry!$B$6))</f>
        <v/>
      </c>
      <c r="E82" s="9" t="str">
        <f t="shared" si="10"/>
        <v/>
      </c>
      <c r="F82" s="9" t="str">
        <f>IF(A82="","", IF(C82="Akumulacja", Parametry!$B$5*12*D82, 0))</f>
        <v/>
      </c>
      <c r="G82" s="9" t="str">
        <f>IF(A82="","", IF(C82="Dekumulacja", Parametry!$B$4*12*D82, 0))</f>
        <v/>
      </c>
      <c r="H82" s="9" t="str">
        <f>IF(A82="","", IF(C82="Dekumulacja", Parametry!$B$3*12*D82, 0))</f>
        <v/>
      </c>
      <c r="I82" s="9" t="str">
        <f t="shared" si="8"/>
        <v/>
      </c>
      <c r="J82" s="9" t="str">
        <f>IF(A82="","", MAX(0, E82+F82-I82)*Parametry!$B$7)</f>
        <v/>
      </c>
      <c r="K82" s="9" t="str">
        <f t="shared" si="11"/>
        <v/>
      </c>
      <c r="L82" s="9" t="str">
        <f>IF(A82="","", IF(Parametry!$B$11&gt;0, I82 * (1 - MIN(1, K81 / MAX(1, E82+F82))) * Parametry!$B$11, 0))</f>
        <v/>
      </c>
      <c r="M82" s="9" t="str">
        <f t="shared" si="9"/>
        <v/>
      </c>
    </row>
    <row r="83" spans="1:13" x14ac:dyDescent="0.5">
      <c r="A83" s="6" t="str">
        <f>IF(Parametry!$B$8+82-1&lt;=Parametry!$B$10, 82, "")</f>
        <v/>
      </c>
      <c r="B83" s="6" t="str">
        <f>IF(A83="","", Parametry!$B$8+A83-1)</f>
        <v/>
      </c>
      <c r="C83" s="7" t="str">
        <f>IF(A83="","", IF(B83&gt;=Parametry!$B$9, "Dekumulacja", "Akumulacja"))</f>
        <v/>
      </c>
      <c r="D83" s="8" t="str">
        <f>IF(A83="","", D82*(1+Parametry!$B$6))</f>
        <v/>
      </c>
      <c r="E83" s="9" t="str">
        <f t="shared" si="10"/>
        <v/>
      </c>
      <c r="F83" s="9" t="str">
        <f>IF(A83="","", IF(C83="Akumulacja", Parametry!$B$5*12*D83, 0))</f>
        <v/>
      </c>
      <c r="G83" s="9" t="str">
        <f>IF(A83="","", IF(C83="Dekumulacja", Parametry!$B$4*12*D83, 0))</f>
        <v/>
      </c>
      <c r="H83" s="9" t="str">
        <f>IF(A83="","", IF(C83="Dekumulacja", Parametry!$B$3*12*D83, 0))</f>
        <v/>
      </c>
      <c r="I83" s="9" t="str">
        <f t="shared" si="8"/>
        <v/>
      </c>
      <c r="J83" s="9" t="str">
        <f>IF(A83="","", MAX(0, E83+F83-I83)*Parametry!$B$7)</f>
        <v/>
      </c>
      <c r="K83" s="9" t="str">
        <f t="shared" si="11"/>
        <v/>
      </c>
      <c r="L83" s="9" t="str">
        <f>IF(A83="","", IF(Parametry!$B$11&gt;0, I83 * (1 - MIN(1, K82 / MAX(1, E83+F83))) * Parametry!$B$11, 0))</f>
        <v/>
      </c>
      <c r="M83" s="9" t="str">
        <f t="shared" si="9"/>
        <v/>
      </c>
    </row>
    <row r="84" spans="1:13" x14ac:dyDescent="0.5">
      <c r="A84" s="6" t="str">
        <f>IF(Parametry!$B$8+83-1&lt;=Parametry!$B$10, 83, "")</f>
        <v/>
      </c>
      <c r="B84" s="6" t="str">
        <f>IF(A84="","", Parametry!$B$8+A84-1)</f>
        <v/>
      </c>
      <c r="C84" s="7" t="str">
        <f>IF(A84="","", IF(B84&gt;=Parametry!$B$9, "Dekumulacja", "Akumulacja"))</f>
        <v/>
      </c>
      <c r="D84" s="8" t="str">
        <f>IF(A84="","", D83*(1+Parametry!$B$6))</f>
        <v/>
      </c>
      <c r="E84" s="9" t="str">
        <f t="shared" si="10"/>
        <v/>
      </c>
      <c r="F84" s="9" t="str">
        <f>IF(A84="","", IF(C84="Akumulacja", Parametry!$B$5*12*D84, 0))</f>
        <v/>
      </c>
      <c r="G84" s="9" t="str">
        <f>IF(A84="","", IF(C84="Dekumulacja", Parametry!$B$4*12*D84, 0))</f>
        <v/>
      </c>
      <c r="H84" s="9" t="str">
        <f>IF(A84="","", IF(C84="Dekumulacja", Parametry!$B$3*12*D84, 0))</f>
        <v/>
      </c>
      <c r="I84" s="9" t="str">
        <f t="shared" si="8"/>
        <v/>
      </c>
      <c r="J84" s="9" t="str">
        <f>IF(A84="","", MAX(0, E84+F84-I84)*Parametry!$B$7)</f>
        <v/>
      </c>
      <c r="K84" s="9" t="str">
        <f t="shared" si="11"/>
        <v/>
      </c>
      <c r="L84" s="9" t="str">
        <f>IF(A84="","", IF(Parametry!$B$11&gt;0, I84 * (1 - MIN(1, K83 / MAX(1, E84+F84))) * Parametry!$B$11, 0))</f>
        <v/>
      </c>
      <c r="M84" s="9" t="str">
        <f t="shared" si="9"/>
        <v/>
      </c>
    </row>
    <row r="85" spans="1:13" x14ac:dyDescent="0.5">
      <c r="A85" s="6" t="str">
        <f>IF(Parametry!$B$8+84-1&lt;=Parametry!$B$10, 84, "")</f>
        <v/>
      </c>
      <c r="B85" s="6" t="str">
        <f>IF(A85="","", Parametry!$B$8+A85-1)</f>
        <v/>
      </c>
      <c r="C85" s="7" t="str">
        <f>IF(A85="","", IF(B85&gt;=Parametry!$B$9, "Dekumulacja", "Akumulacja"))</f>
        <v/>
      </c>
      <c r="D85" s="8" t="str">
        <f>IF(A85="","", D84*(1+Parametry!$B$6))</f>
        <v/>
      </c>
      <c r="E85" s="9" t="str">
        <f t="shared" si="10"/>
        <v/>
      </c>
      <c r="F85" s="9" t="str">
        <f>IF(A85="","", IF(C85="Akumulacja", Parametry!$B$5*12*D85, 0))</f>
        <v/>
      </c>
      <c r="G85" s="9" t="str">
        <f>IF(A85="","", IF(C85="Dekumulacja", Parametry!$B$4*12*D85, 0))</f>
        <v/>
      </c>
      <c r="H85" s="9" t="str">
        <f>IF(A85="","", IF(C85="Dekumulacja", Parametry!$B$3*12*D85, 0))</f>
        <v/>
      </c>
      <c r="I85" s="9" t="str">
        <f t="shared" si="8"/>
        <v/>
      </c>
      <c r="J85" s="9" t="str">
        <f>IF(A85="","", MAX(0, E85+F85-I85)*Parametry!$B$7)</f>
        <v/>
      </c>
      <c r="K85" s="9" t="str">
        <f t="shared" si="11"/>
        <v/>
      </c>
      <c r="L85" s="9" t="str">
        <f>IF(A85="","", IF(Parametry!$B$11&gt;0, I85 * (1 - MIN(1, K84 / MAX(1, E85+F85))) * Parametry!$B$11, 0))</f>
        <v/>
      </c>
      <c r="M85" s="9" t="str">
        <f t="shared" si="9"/>
        <v/>
      </c>
    </row>
    <row r="86" spans="1:13" x14ac:dyDescent="0.5">
      <c r="A86" s="6" t="str">
        <f>IF(Parametry!$B$8+85-1&lt;=Parametry!$B$10, 85, "")</f>
        <v/>
      </c>
      <c r="B86" s="6" t="str">
        <f>IF(A86="","", Parametry!$B$8+A86-1)</f>
        <v/>
      </c>
      <c r="C86" s="7" t="str">
        <f>IF(A86="","", IF(B86&gt;=Parametry!$B$9, "Dekumulacja", "Akumulacja"))</f>
        <v/>
      </c>
      <c r="D86" s="8" t="str">
        <f>IF(A86="","", D85*(1+Parametry!$B$6))</f>
        <v/>
      </c>
      <c r="E86" s="9" t="str">
        <f t="shared" si="10"/>
        <v/>
      </c>
      <c r="F86" s="9" t="str">
        <f>IF(A86="","", IF(C86="Akumulacja", Parametry!$B$5*12*D86, 0))</f>
        <v/>
      </c>
      <c r="G86" s="9" t="str">
        <f>IF(A86="","", IF(C86="Dekumulacja", Parametry!$B$4*12*D86, 0))</f>
        <v/>
      </c>
      <c r="H86" s="9" t="str">
        <f>IF(A86="","", IF(C86="Dekumulacja", Parametry!$B$3*12*D86, 0))</f>
        <v/>
      </c>
      <c r="I86" s="9" t="str">
        <f t="shared" si="8"/>
        <v/>
      </c>
      <c r="J86" s="9" t="str">
        <f>IF(A86="","", MAX(0, E86+F86-I86)*Parametry!$B$7)</f>
        <v/>
      </c>
      <c r="K86" s="9" t="str">
        <f t="shared" si="11"/>
        <v/>
      </c>
      <c r="L86" s="9" t="str">
        <f>IF(A86="","", IF(Parametry!$B$11&gt;0, I86 * (1 - MIN(1, K85 / MAX(1, E86+F86))) * Parametry!$B$11, 0))</f>
        <v/>
      </c>
      <c r="M86" s="9" t="str">
        <f t="shared" si="9"/>
        <v/>
      </c>
    </row>
    <row r="87" spans="1:13" x14ac:dyDescent="0.5">
      <c r="A87" s="6" t="str">
        <f>IF(Parametry!$B$8+86-1&lt;=Parametry!$B$10, 86, "")</f>
        <v/>
      </c>
      <c r="B87" s="6" t="str">
        <f>IF(A87="","", Parametry!$B$8+A87-1)</f>
        <v/>
      </c>
      <c r="C87" s="7" t="str">
        <f>IF(A87="","", IF(B87&gt;=Parametry!$B$9, "Dekumulacja", "Akumulacja"))</f>
        <v/>
      </c>
      <c r="D87" s="8" t="str">
        <f>IF(A87="","", D86*(1+Parametry!$B$6))</f>
        <v/>
      </c>
      <c r="E87" s="9" t="str">
        <f t="shared" si="10"/>
        <v/>
      </c>
      <c r="F87" s="9" t="str">
        <f>IF(A87="","", IF(C87="Akumulacja", Parametry!$B$5*12*D87, 0))</f>
        <v/>
      </c>
      <c r="G87" s="9" t="str">
        <f>IF(A87="","", IF(C87="Dekumulacja", Parametry!$B$4*12*D87, 0))</f>
        <v/>
      </c>
      <c r="H87" s="9" t="str">
        <f>IF(A87="","", IF(C87="Dekumulacja", Parametry!$B$3*12*D87, 0))</f>
        <v/>
      </c>
      <c r="I87" s="9" t="str">
        <f t="shared" si="8"/>
        <v/>
      </c>
      <c r="J87" s="9" t="str">
        <f>IF(A87="","", MAX(0, E87+F87-I87)*Parametry!$B$7)</f>
        <v/>
      </c>
      <c r="K87" s="9" t="str">
        <f t="shared" si="11"/>
        <v/>
      </c>
      <c r="L87" s="9" t="str">
        <f>IF(A87="","", IF(Parametry!$B$11&gt;0, I87 * (1 - MIN(1, K86 / MAX(1, E87+F87))) * Parametry!$B$11, 0))</f>
        <v/>
      </c>
      <c r="M87" s="9" t="str">
        <f t="shared" si="9"/>
        <v/>
      </c>
    </row>
    <row r="88" spans="1:13" x14ac:dyDescent="0.5">
      <c r="A88" s="6" t="str">
        <f>IF(Parametry!$B$8+87-1&lt;=Parametry!$B$10, 87, "")</f>
        <v/>
      </c>
      <c r="B88" s="6" t="str">
        <f>IF(A88="","", Parametry!$B$8+A88-1)</f>
        <v/>
      </c>
      <c r="C88" s="7" t="str">
        <f>IF(A88="","", IF(B88&gt;=Parametry!$B$9, "Dekumulacja", "Akumulacja"))</f>
        <v/>
      </c>
      <c r="D88" s="8" t="str">
        <f>IF(A88="","", D87*(1+Parametry!$B$6))</f>
        <v/>
      </c>
      <c r="E88" s="9" t="str">
        <f t="shared" si="10"/>
        <v/>
      </c>
      <c r="F88" s="9" t="str">
        <f>IF(A88="","", IF(C88="Akumulacja", Parametry!$B$5*12*D88, 0))</f>
        <v/>
      </c>
      <c r="G88" s="9" t="str">
        <f>IF(A88="","", IF(C88="Dekumulacja", Parametry!$B$4*12*D88, 0))</f>
        <v/>
      </c>
      <c r="H88" s="9" t="str">
        <f>IF(A88="","", IF(C88="Dekumulacja", Parametry!$B$3*12*D88, 0))</f>
        <v/>
      </c>
      <c r="I88" s="9" t="str">
        <f t="shared" si="8"/>
        <v/>
      </c>
      <c r="J88" s="9" t="str">
        <f>IF(A88="","", MAX(0, E88+F88-I88)*Parametry!$B$7)</f>
        <v/>
      </c>
      <c r="K88" s="9" t="str">
        <f t="shared" si="11"/>
        <v/>
      </c>
      <c r="L88" s="9" t="str">
        <f>IF(A88="","", IF(Parametry!$B$11&gt;0, I88 * (1 - MIN(1, K87 / MAX(1, E88+F88))) * Parametry!$B$11, 0))</f>
        <v/>
      </c>
      <c r="M88" s="9" t="str">
        <f t="shared" si="9"/>
        <v/>
      </c>
    </row>
    <row r="89" spans="1:13" x14ac:dyDescent="0.5">
      <c r="A89" s="6" t="str">
        <f>IF(Parametry!$B$8+88-1&lt;=Parametry!$B$10, 88, "")</f>
        <v/>
      </c>
      <c r="B89" s="6" t="str">
        <f>IF(A89="","", Parametry!$B$8+A89-1)</f>
        <v/>
      </c>
      <c r="C89" s="7" t="str">
        <f>IF(A89="","", IF(B89&gt;=Parametry!$B$9, "Dekumulacja", "Akumulacja"))</f>
        <v/>
      </c>
      <c r="D89" s="8" t="str">
        <f>IF(A89="","", D88*(1+Parametry!$B$6))</f>
        <v/>
      </c>
      <c r="E89" s="9" t="str">
        <f t="shared" si="10"/>
        <v/>
      </c>
      <c r="F89" s="9" t="str">
        <f>IF(A89="","", IF(C89="Akumulacja", Parametry!$B$5*12*D89, 0))</f>
        <v/>
      </c>
      <c r="G89" s="9" t="str">
        <f>IF(A89="","", IF(C89="Dekumulacja", Parametry!$B$4*12*D89, 0))</f>
        <v/>
      </c>
      <c r="H89" s="9" t="str">
        <f>IF(A89="","", IF(C89="Dekumulacja", Parametry!$B$3*12*D89, 0))</f>
        <v/>
      </c>
      <c r="I89" s="9" t="str">
        <f t="shared" si="8"/>
        <v/>
      </c>
      <c r="J89" s="9" t="str">
        <f>IF(A89="","", MAX(0, E89+F89-I89)*Parametry!$B$7)</f>
        <v/>
      </c>
      <c r="K89" s="9" t="str">
        <f t="shared" si="11"/>
        <v/>
      </c>
      <c r="L89" s="9" t="str">
        <f>IF(A89="","", IF(Parametry!$B$11&gt;0, I89 * (1 - MIN(1, K88 / MAX(1, E89+F89))) * Parametry!$B$11, 0))</f>
        <v/>
      </c>
      <c r="M89" s="9" t="str">
        <f t="shared" si="9"/>
        <v/>
      </c>
    </row>
    <row r="90" spans="1:13" x14ac:dyDescent="0.5">
      <c r="A90" s="6" t="str">
        <f>IF(Parametry!$B$8+89-1&lt;=Parametry!$B$10, 89, "")</f>
        <v/>
      </c>
      <c r="B90" s="6" t="str">
        <f>IF(A90="","", Parametry!$B$8+A90-1)</f>
        <v/>
      </c>
      <c r="C90" s="7" t="str">
        <f>IF(A90="","", IF(B90&gt;=Parametry!$B$9, "Dekumulacja", "Akumulacja"))</f>
        <v/>
      </c>
      <c r="D90" s="8" t="str">
        <f>IF(A90="","", D89*(1+Parametry!$B$6))</f>
        <v/>
      </c>
      <c r="E90" s="9" t="str">
        <f t="shared" si="10"/>
        <v/>
      </c>
      <c r="F90" s="9" t="str">
        <f>IF(A90="","", IF(C90="Akumulacja", Parametry!$B$5*12*D90, 0))</f>
        <v/>
      </c>
      <c r="G90" s="9" t="str">
        <f>IF(A90="","", IF(C90="Dekumulacja", Parametry!$B$4*12*D90, 0))</f>
        <v/>
      </c>
      <c r="H90" s="9" t="str">
        <f>IF(A90="","", IF(C90="Dekumulacja", Parametry!$B$3*12*D90, 0))</f>
        <v/>
      </c>
      <c r="I90" s="9" t="str">
        <f t="shared" si="8"/>
        <v/>
      </c>
      <c r="J90" s="9" t="str">
        <f>IF(A90="","", MAX(0, E90+F90-I90)*Parametry!$B$7)</f>
        <v/>
      </c>
      <c r="K90" s="9" t="str">
        <f t="shared" si="11"/>
        <v/>
      </c>
      <c r="L90" s="9" t="str">
        <f>IF(A90="","", IF(Parametry!$B$11&gt;0, I90 * (1 - MIN(1, K89 / MAX(1, E90+F90))) * Parametry!$B$11, 0))</f>
        <v/>
      </c>
      <c r="M90" s="9" t="str">
        <f t="shared" si="9"/>
        <v/>
      </c>
    </row>
    <row r="91" spans="1:13" x14ac:dyDescent="0.5">
      <c r="A91" s="6" t="str">
        <f>IF(Parametry!$B$8+90-1&lt;=Parametry!$B$10, 90, "")</f>
        <v/>
      </c>
      <c r="B91" s="6" t="str">
        <f>IF(A91="","", Parametry!$B$8+A91-1)</f>
        <v/>
      </c>
      <c r="C91" s="7" t="str">
        <f>IF(A91="","", IF(B91&gt;=Parametry!$B$9, "Dekumulacja", "Akumulacja"))</f>
        <v/>
      </c>
      <c r="D91" s="8" t="str">
        <f>IF(A91="","", D90*(1+Parametry!$B$6))</f>
        <v/>
      </c>
      <c r="E91" s="9" t="str">
        <f t="shared" si="10"/>
        <v/>
      </c>
      <c r="F91" s="9" t="str">
        <f>IF(A91="","", IF(C91="Akumulacja", Parametry!$B$5*12*D91, 0))</f>
        <v/>
      </c>
      <c r="G91" s="9" t="str">
        <f>IF(A91="","", IF(C91="Dekumulacja", Parametry!$B$4*12*D91, 0))</f>
        <v/>
      </c>
      <c r="H91" s="9" t="str">
        <f>IF(A91="","", IF(C91="Dekumulacja", Parametry!$B$3*12*D91, 0))</f>
        <v/>
      </c>
      <c r="I91" s="9" t="str">
        <f t="shared" si="8"/>
        <v/>
      </c>
      <c r="J91" s="9" t="str">
        <f>IF(A91="","", MAX(0, E91+F91-I91)*Parametry!$B$7)</f>
        <v/>
      </c>
      <c r="K91" s="9" t="str">
        <f t="shared" si="11"/>
        <v/>
      </c>
      <c r="L91" s="9" t="str">
        <f>IF(A91="","", IF(Parametry!$B$11&gt;0, I91 * (1 - MIN(1, K90 / MAX(1, E91+F91))) * Parametry!$B$11, 0))</f>
        <v/>
      </c>
      <c r="M91" s="9" t="str">
        <f t="shared" si="9"/>
        <v/>
      </c>
    </row>
    <row r="92" spans="1:13" x14ac:dyDescent="0.5">
      <c r="A92" s="6" t="str">
        <f>IF(Parametry!$B$8+91-1&lt;=Parametry!$B$10, 91, "")</f>
        <v/>
      </c>
      <c r="B92" s="6" t="str">
        <f>IF(A92="","", Parametry!$B$8+A92-1)</f>
        <v/>
      </c>
      <c r="C92" s="7" t="str">
        <f>IF(A92="","", IF(B92&gt;=Parametry!$B$9, "Dekumulacja", "Akumulacja"))</f>
        <v/>
      </c>
      <c r="D92" s="8" t="str">
        <f>IF(A92="","", D91*(1+Parametry!$B$6))</f>
        <v/>
      </c>
      <c r="E92" s="9" t="str">
        <f t="shared" si="10"/>
        <v/>
      </c>
      <c r="F92" s="9" t="str">
        <f>IF(A92="","", IF(C92="Akumulacja", Parametry!$B$5*12*D92, 0))</f>
        <v/>
      </c>
      <c r="G92" s="9" t="str">
        <f>IF(A92="","", IF(C92="Dekumulacja", Parametry!$B$4*12*D92, 0))</f>
        <v/>
      </c>
      <c r="H92" s="9" t="str">
        <f>IF(A92="","", IF(C92="Dekumulacja", Parametry!$B$3*12*D92, 0))</f>
        <v/>
      </c>
      <c r="I92" s="9" t="str">
        <f t="shared" si="8"/>
        <v/>
      </c>
      <c r="J92" s="9" t="str">
        <f>IF(A92="","", MAX(0, E92+F92-I92)*Parametry!$B$7)</f>
        <v/>
      </c>
      <c r="K92" s="9" t="str">
        <f t="shared" si="11"/>
        <v/>
      </c>
      <c r="L92" s="9" t="str">
        <f>IF(A92="","", IF(Parametry!$B$11&gt;0, I92 * (1 - MIN(1, K91 / MAX(1, E92+F92))) * Parametry!$B$11, 0))</f>
        <v/>
      </c>
      <c r="M92" s="9" t="str">
        <f t="shared" si="9"/>
        <v/>
      </c>
    </row>
    <row r="93" spans="1:13" x14ac:dyDescent="0.5">
      <c r="A93" s="6" t="str">
        <f>IF(Parametry!$B$8+92-1&lt;=Parametry!$B$10, 92, "")</f>
        <v/>
      </c>
      <c r="B93" s="6" t="str">
        <f>IF(A93="","", Parametry!$B$8+A93-1)</f>
        <v/>
      </c>
      <c r="C93" s="7" t="str">
        <f>IF(A93="","", IF(B93&gt;=Parametry!$B$9, "Dekumulacja", "Akumulacja"))</f>
        <v/>
      </c>
      <c r="D93" s="8" t="str">
        <f>IF(A93="","", D92*(1+Parametry!$B$6))</f>
        <v/>
      </c>
      <c r="E93" s="9" t="str">
        <f t="shared" si="10"/>
        <v/>
      </c>
      <c r="F93" s="9" t="str">
        <f>IF(A93="","", IF(C93="Akumulacja", Parametry!$B$5*12*D93, 0))</f>
        <v/>
      </c>
      <c r="G93" s="9" t="str">
        <f>IF(A93="","", IF(C93="Dekumulacja", Parametry!$B$4*12*D93, 0))</f>
        <v/>
      </c>
      <c r="H93" s="9" t="str">
        <f>IF(A93="","", IF(C93="Dekumulacja", Parametry!$B$3*12*D93, 0))</f>
        <v/>
      </c>
      <c r="I93" s="9" t="str">
        <f t="shared" si="8"/>
        <v/>
      </c>
      <c r="J93" s="9" t="str">
        <f>IF(A93="","", MAX(0, E93+F93-I93)*Parametry!$B$7)</f>
        <v/>
      </c>
      <c r="K93" s="9" t="str">
        <f t="shared" si="11"/>
        <v/>
      </c>
      <c r="L93" s="9" t="str">
        <f>IF(A93="","", IF(Parametry!$B$11&gt;0, I93 * (1 - MIN(1, K92 / MAX(1, E93+F93))) * Parametry!$B$11, 0))</f>
        <v/>
      </c>
      <c r="M93" s="9" t="str">
        <f t="shared" si="9"/>
        <v/>
      </c>
    </row>
    <row r="94" spans="1:13" x14ac:dyDescent="0.5">
      <c r="A94" s="6" t="str">
        <f>IF(Parametry!$B$8+93-1&lt;=Parametry!$B$10, 93, "")</f>
        <v/>
      </c>
      <c r="B94" s="6" t="str">
        <f>IF(A94="","", Parametry!$B$8+A94-1)</f>
        <v/>
      </c>
      <c r="C94" s="7" t="str">
        <f>IF(A94="","", IF(B94&gt;=Parametry!$B$9, "Dekumulacja", "Akumulacja"))</f>
        <v/>
      </c>
      <c r="D94" s="8" t="str">
        <f>IF(A94="","", D93*(1+Parametry!$B$6))</f>
        <v/>
      </c>
      <c r="E94" s="9" t="str">
        <f t="shared" si="10"/>
        <v/>
      </c>
      <c r="F94" s="9" t="str">
        <f>IF(A94="","", IF(C94="Akumulacja", Parametry!$B$5*12*D94, 0))</f>
        <v/>
      </c>
      <c r="G94" s="9" t="str">
        <f>IF(A94="","", IF(C94="Dekumulacja", Parametry!$B$4*12*D94, 0))</f>
        <v/>
      </c>
      <c r="H94" s="9" t="str">
        <f>IF(A94="","", IF(C94="Dekumulacja", Parametry!$B$3*12*D94, 0))</f>
        <v/>
      </c>
      <c r="I94" s="9" t="str">
        <f t="shared" si="8"/>
        <v/>
      </c>
      <c r="J94" s="9" t="str">
        <f>IF(A94="","", MAX(0, E94+F94-I94)*Parametry!$B$7)</f>
        <v/>
      </c>
      <c r="K94" s="9" t="str">
        <f t="shared" si="11"/>
        <v/>
      </c>
      <c r="L94" s="9" t="str">
        <f>IF(A94="","", IF(Parametry!$B$11&gt;0, I94 * (1 - MIN(1, K93 / MAX(1, E94+F94))) * Parametry!$B$11, 0))</f>
        <v/>
      </c>
      <c r="M94" s="9" t="str">
        <f t="shared" si="9"/>
        <v/>
      </c>
    </row>
    <row r="95" spans="1:13" x14ac:dyDescent="0.5">
      <c r="A95" s="6" t="str">
        <f>IF(Parametry!$B$8+94-1&lt;=Parametry!$B$10, 94, "")</f>
        <v/>
      </c>
      <c r="B95" s="6" t="str">
        <f>IF(A95="","", Parametry!$B$8+A95-1)</f>
        <v/>
      </c>
      <c r="C95" s="7" t="str">
        <f>IF(A95="","", IF(B95&gt;=Parametry!$B$9, "Dekumulacja", "Akumulacja"))</f>
        <v/>
      </c>
      <c r="D95" s="8" t="str">
        <f>IF(A95="","", D94*(1+Parametry!$B$6))</f>
        <v/>
      </c>
      <c r="E95" s="9" t="str">
        <f t="shared" si="10"/>
        <v/>
      </c>
      <c r="F95" s="9" t="str">
        <f>IF(A95="","", IF(C95="Akumulacja", Parametry!$B$5*12*D95, 0))</f>
        <v/>
      </c>
      <c r="G95" s="9" t="str">
        <f>IF(A95="","", IF(C95="Dekumulacja", Parametry!$B$4*12*D95, 0))</f>
        <v/>
      </c>
      <c r="H95" s="9" t="str">
        <f>IF(A95="","", IF(C95="Dekumulacja", Parametry!$B$3*12*D95, 0))</f>
        <v/>
      </c>
      <c r="I95" s="9" t="str">
        <f t="shared" si="8"/>
        <v/>
      </c>
      <c r="J95" s="9" t="str">
        <f>IF(A95="","", MAX(0, E95+F95-I95)*Parametry!$B$7)</f>
        <v/>
      </c>
      <c r="K95" s="9" t="str">
        <f t="shared" si="11"/>
        <v/>
      </c>
      <c r="L95" s="9" t="str">
        <f>IF(A95="","", IF(Parametry!$B$11&gt;0, I95 * (1 - MIN(1, K94 / MAX(1, E95+F95))) * Parametry!$B$11, 0))</f>
        <v/>
      </c>
      <c r="M95" s="9" t="str">
        <f t="shared" si="9"/>
        <v/>
      </c>
    </row>
    <row r="96" spans="1:13" x14ac:dyDescent="0.5">
      <c r="A96" s="6" t="str">
        <f>IF(Parametry!$B$8+95-1&lt;=Parametry!$B$10, 95, "")</f>
        <v/>
      </c>
      <c r="B96" s="6" t="str">
        <f>IF(A96="","", Parametry!$B$8+A96-1)</f>
        <v/>
      </c>
      <c r="C96" s="7" t="str">
        <f>IF(A96="","", IF(B96&gt;=Parametry!$B$9, "Dekumulacja", "Akumulacja"))</f>
        <v/>
      </c>
      <c r="D96" s="8" t="str">
        <f>IF(A96="","", D95*(1+Parametry!$B$6))</f>
        <v/>
      </c>
      <c r="E96" s="9" t="str">
        <f t="shared" si="10"/>
        <v/>
      </c>
      <c r="F96" s="9" t="str">
        <f>IF(A96="","", IF(C96="Akumulacja", Parametry!$B$5*12*D96, 0))</f>
        <v/>
      </c>
      <c r="G96" s="9" t="str">
        <f>IF(A96="","", IF(C96="Dekumulacja", Parametry!$B$4*12*D96, 0))</f>
        <v/>
      </c>
      <c r="H96" s="9" t="str">
        <f>IF(A96="","", IF(C96="Dekumulacja", Parametry!$B$3*12*D96, 0))</f>
        <v/>
      </c>
      <c r="I96" s="9" t="str">
        <f t="shared" si="8"/>
        <v/>
      </c>
      <c r="J96" s="9" t="str">
        <f>IF(A96="","", MAX(0, E96+F96-I96)*Parametry!$B$7)</f>
        <v/>
      </c>
      <c r="K96" s="9" t="str">
        <f t="shared" si="11"/>
        <v/>
      </c>
      <c r="L96" s="9" t="str">
        <f>IF(A96="","", IF(Parametry!$B$11&gt;0, I96 * (1 - MIN(1, K95 / MAX(1, E96+F96))) * Parametry!$B$11, 0))</f>
        <v/>
      </c>
      <c r="M96" s="9" t="str">
        <f t="shared" si="9"/>
        <v/>
      </c>
    </row>
    <row r="97" spans="1:13" x14ac:dyDescent="0.5">
      <c r="A97" s="6" t="str">
        <f>IF(Parametry!$B$8+96-1&lt;=Parametry!$B$10, 96, "")</f>
        <v/>
      </c>
      <c r="B97" s="6" t="str">
        <f>IF(A97="","", Parametry!$B$8+A97-1)</f>
        <v/>
      </c>
      <c r="C97" s="7" t="str">
        <f>IF(A97="","", IF(B97&gt;=Parametry!$B$9, "Dekumulacja", "Akumulacja"))</f>
        <v/>
      </c>
      <c r="D97" s="8" t="str">
        <f>IF(A97="","", D96*(1+Parametry!$B$6))</f>
        <v/>
      </c>
      <c r="E97" s="9" t="str">
        <f t="shared" si="10"/>
        <v/>
      </c>
      <c r="F97" s="9" t="str">
        <f>IF(A97="","", IF(C97="Akumulacja", Parametry!$B$5*12*D97, 0))</f>
        <v/>
      </c>
      <c r="G97" s="9" t="str">
        <f>IF(A97="","", IF(C97="Dekumulacja", Parametry!$B$4*12*D97, 0))</f>
        <v/>
      </c>
      <c r="H97" s="9" t="str">
        <f>IF(A97="","", IF(C97="Dekumulacja", Parametry!$B$3*12*D97, 0))</f>
        <v/>
      </c>
      <c r="I97" s="9" t="str">
        <f t="shared" si="8"/>
        <v/>
      </c>
      <c r="J97" s="9" t="str">
        <f>IF(A97="","", MAX(0, E97+F97-I97)*Parametry!$B$7)</f>
        <v/>
      </c>
      <c r="K97" s="9" t="str">
        <f t="shared" si="11"/>
        <v/>
      </c>
      <c r="L97" s="9" t="str">
        <f>IF(A97="","", IF(Parametry!$B$11&gt;0, I97 * (1 - MIN(1, K96 / MAX(1, E97+F97))) * Parametry!$B$11, 0))</f>
        <v/>
      </c>
      <c r="M97" s="9" t="str">
        <f t="shared" si="9"/>
        <v/>
      </c>
    </row>
    <row r="98" spans="1:13" x14ac:dyDescent="0.5">
      <c r="A98" s="6" t="str">
        <f>IF(Parametry!$B$8+97-1&lt;=Parametry!$B$10, 97, "")</f>
        <v/>
      </c>
      <c r="B98" s="6" t="str">
        <f>IF(A98="","", Parametry!$B$8+A98-1)</f>
        <v/>
      </c>
      <c r="C98" s="7" t="str">
        <f>IF(A98="","", IF(B98&gt;=Parametry!$B$9, "Dekumulacja", "Akumulacja"))</f>
        <v/>
      </c>
      <c r="D98" s="8" t="str">
        <f>IF(A98="","", D97*(1+Parametry!$B$6))</f>
        <v/>
      </c>
      <c r="E98" s="9" t="str">
        <f t="shared" si="10"/>
        <v/>
      </c>
      <c r="F98" s="9" t="str">
        <f>IF(A98="","", IF(C98="Akumulacja", Parametry!$B$5*12*D98, 0))</f>
        <v/>
      </c>
      <c r="G98" s="9" t="str">
        <f>IF(A98="","", IF(C98="Dekumulacja", Parametry!$B$4*12*D98, 0))</f>
        <v/>
      </c>
      <c r="H98" s="9" t="str">
        <f>IF(A98="","", IF(C98="Dekumulacja", Parametry!$B$3*12*D98, 0))</f>
        <v/>
      </c>
      <c r="I98" s="9" t="str">
        <f t="shared" ref="I98:I129" si="12">IF(A98="","", MAX(0, H98-G98))</f>
        <v/>
      </c>
      <c r="J98" s="9" t="str">
        <f>IF(A98="","", MAX(0, E98+F98-I98)*Parametry!$B$7)</f>
        <v/>
      </c>
      <c r="K98" s="9" t="str">
        <f t="shared" si="11"/>
        <v/>
      </c>
      <c r="L98" s="9" t="str">
        <f>IF(A98="","", IF(Parametry!$B$11&gt;0, I98 * (1 - MIN(1, K97 / MAX(1, E98+F98))) * Parametry!$B$11, 0))</f>
        <v/>
      </c>
      <c r="M98" s="9" t="str">
        <f t="shared" ref="M98:M129" si="13">IF(A98="","", MAX(0, E98+F98-I98+J98-L98))</f>
        <v/>
      </c>
    </row>
    <row r="99" spans="1:13" x14ac:dyDescent="0.5">
      <c r="A99" s="6" t="str">
        <f>IF(Parametry!$B$8+98-1&lt;=Parametry!$B$10, 98, "")</f>
        <v/>
      </c>
      <c r="B99" s="6" t="str">
        <f>IF(A99="","", Parametry!$B$8+A99-1)</f>
        <v/>
      </c>
      <c r="C99" s="7" t="str">
        <f>IF(A99="","", IF(B99&gt;=Parametry!$B$9, "Dekumulacja", "Akumulacja"))</f>
        <v/>
      </c>
      <c r="D99" s="8" t="str">
        <f>IF(A99="","", D98*(1+Parametry!$B$6))</f>
        <v/>
      </c>
      <c r="E99" s="9" t="str">
        <f t="shared" si="10"/>
        <v/>
      </c>
      <c r="F99" s="9" t="str">
        <f>IF(A99="","", IF(C99="Akumulacja", Parametry!$B$5*12*D99, 0))</f>
        <v/>
      </c>
      <c r="G99" s="9" t="str">
        <f>IF(A99="","", IF(C99="Dekumulacja", Parametry!$B$4*12*D99, 0))</f>
        <v/>
      </c>
      <c r="H99" s="9" t="str">
        <f>IF(A99="","", IF(C99="Dekumulacja", Parametry!$B$3*12*D99, 0))</f>
        <v/>
      </c>
      <c r="I99" s="9" t="str">
        <f t="shared" si="12"/>
        <v/>
      </c>
      <c r="J99" s="9" t="str">
        <f>IF(A99="","", MAX(0, E99+F99-I99)*Parametry!$B$7)</f>
        <v/>
      </c>
      <c r="K99" s="9" t="str">
        <f t="shared" si="11"/>
        <v/>
      </c>
      <c r="L99" s="9" t="str">
        <f>IF(A99="","", IF(Parametry!$B$11&gt;0, I99 * (1 - MIN(1, K98 / MAX(1, E99+F99))) * Parametry!$B$11, 0))</f>
        <v/>
      </c>
      <c r="M99" s="9" t="str">
        <f t="shared" si="13"/>
        <v/>
      </c>
    </row>
    <row r="100" spans="1:13" x14ac:dyDescent="0.5">
      <c r="A100" s="6" t="str">
        <f>IF(Parametry!$B$8+99-1&lt;=Parametry!$B$10, 99, "")</f>
        <v/>
      </c>
      <c r="B100" s="6" t="str">
        <f>IF(A100="","", Parametry!$B$8+A100-1)</f>
        <v/>
      </c>
      <c r="C100" s="7" t="str">
        <f>IF(A100="","", IF(B100&gt;=Parametry!$B$9, "Dekumulacja", "Akumulacja"))</f>
        <v/>
      </c>
      <c r="D100" s="8" t="str">
        <f>IF(A100="","", D99*(1+Parametry!$B$6))</f>
        <v/>
      </c>
      <c r="E100" s="9" t="str">
        <f t="shared" si="10"/>
        <v/>
      </c>
      <c r="F100" s="9" t="str">
        <f>IF(A100="","", IF(C100="Akumulacja", Parametry!$B$5*12*D100, 0))</f>
        <v/>
      </c>
      <c r="G100" s="9" t="str">
        <f>IF(A100="","", IF(C100="Dekumulacja", Parametry!$B$4*12*D100, 0))</f>
        <v/>
      </c>
      <c r="H100" s="9" t="str">
        <f>IF(A100="","", IF(C100="Dekumulacja", Parametry!$B$3*12*D100, 0))</f>
        <v/>
      </c>
      <c r="I100" s="9" t="str">
        <f t="shared" si="12"/>
        <v/>
      </c>
      <c r="J100" s="9" t="str">
        <f>IF(A100="","", MAX(0, E100+F100-I100)*Parametry!$B$7)</f>
        <v/>
      </c>
      <c r="K100" s="9" t="str">
        <f t="shared" si="11"/>
        <v/>
      </c>
      <c r="L100" s="9" t="str">
        <f>IF(A100="","", IF(Parametry!$B$11&gt;0, I100 * (1 - MIN(1, K99 / MAX(1, E100+F100))) * Parametry!$B$11, 0))</f>
        <v/>
      </c>
      <c r="M100" s="9" t="str">
        <f t="shared" si="13"/>
        <v/>
      </c>
    </row>
    <row r="101" spans="1:13" x14ac:dyDescent="0.5">
      <c r="A101" s="6" t="str">
        <f>IF(Parametry!$B$8+100-1&lt;=Parametry!$B$10, 100, "")</f>
        <v/>
      </c>
      <c r="B101" s="6" t="str">
        <f>IF(A101="","", Parametry!$B$8+A101-1)</f>
        <v/>
      </c>
      <c r="C101" s="7" t="str">
        <f>IF(A101="","", IF(B101&gt;=Parametry!$B$9, "Dekumulacja", "Akumulacja"))</f>
        <v/>
      </c>
      <c r="D101" s="8" t="str">
        <f>IF(A101="","", D100*(1+Parametry!$B$6))</f>
        <v/>
      </c>
      <c r="E101" s="9" t="str">
        <f t="shared" si="10"/>
        <v/>
      </c>
      <c r="F101" s="9" t="str">
        <f>IF(A101="","", IF(C101="Akumulacja", Parametry!$B$5*12*D101, 0))</f>
        <v/>
      </c>
      <c r="G101" s="9" t="str">
        <f>IF(A101="","", IF(C101="Dekumulacja", Parametry!$B$4*12*D101, 0))</f>
        <v/>
      </c>
      <c r="H101" s="9" t="str">
        <f>IF(A101="","", IF(C101="Dekumulacja", Parametry!$B$3*12*D101, 0))</f>
        <v/>
      </c>
      <c r="I101" s="9" t="str">
        <f t="shared" si="12"/>
        <v/>
      </c>
      <c r="J101" s="9" t="str">
        <f>IF(A101="","", MAX(0, E101+F101-I101)*Parametry!$B$7)</f>
        <v/>
      </c>
      <c r="K101" s="9" t="str">
        <f t="shared" si="11"/>
        <v/>
      </c>
      <c r="L101" s="9" t="str">
        <f>IF(A101="","", IF(Parametry!$B$11&gt;0, I101 * (1 - MIN(1, K100 / MAX(1, E101+F101))) * Parametry!$B$11, 0))</f>
        <v/>
      </c>
      <c r="M101" s="9" t="str">
        <f t="shared" si="13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35" x14ac:dyDescent="0.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Parametry</vt:lpstr>
      <vt:lpstr>Model</vt:lpstr>
      <vt:lpstr>Wykres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Bartłomiej Lewandowski</cp:lastModifiedBy>
  <dcterms:created xsi:type="dcterms:W3CDTF">2026-06-04T06:03:54Z</dcterms:created>
  <dcterms:modified xsi:type="dcterms:W3CDTF">2026-06-04T06:06:52Z</dcterms:modified>
</cp:coreProperties>
</file>